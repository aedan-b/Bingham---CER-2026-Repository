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2b2d1ad6a78ba7/Desktop/WPI Financial Research/Submissions/Bingham - CER Fall 2026/"/>
    </mc:Choice>
  </mc:AlternateContent>
  <xr:revisionPtr revIDLastSave="0" documentId="14_{2DA5040F-B55B-40C5-87FF-5085C1CBABC8}" xr6:coauthVersionLast="47" xr6:coauthVersionMax="47" xr10:uidLastSave="{00000000-0000-0000-0000-000000000000}"/>
  <bookViews>
    <workbookView xWindow="-98" yWindow="-98" windowWidth="21795" windowHeight="13875" xr2:uid="{009F6685-1C42-4A6E-8431-132BAB5091F9}"/>
  </bookViews>
  <sheets>
    <sheet name="Sheet1" sheetId="1" r:id="rId1"/>
    <sheet name="Portfolio Breakdown" sheetId="5" r:id="rId2"/>
    <sheet name="Portfolio Performance" sheetId="2" r:id="rId3"/>
    <sheet name="Account History" sheetId="4" r:id="rId4"/>
    <sheet name="Participant Stats" sheetId="3" r:id="rId5"/>
    <sheet name="Table of Events" sheetId="6" r:id="rId6"/>
  </sheets>
  <externalReferences>
    <externalReference r:id="rId7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3" i="5" l="1"/>
  <c r="J43" i="5" s="1"/>
  <c r="H43" i="5"/>
  <c r="I42" i="5"/>
  <c r="J42" i="5" s="1"/>
  <c r="H42" i="5"/>
  <c r="I41" i="5"/>
  <c r="J41" i="5" s="1"/>
  <c r="H41" i="5"/>
  <c r="I40" i="5"/>
  <c r="J40" i="5" s="1"/>
  <c r="H40" i="5"/>
  <c r="I39" i="5"/>
  <c r="J39" i="5" s="1"/>
  <c r="H39" i="5"/>
  <c r="I38" i="5"/>
  <c r="I44" i="5" s="1"/>
  <c r="H38" i="5"/>
  <c r="H44" i="5" s="1"/>
  <c r="I35" i="5"/>
  <c r="J35" i="5" s="1"/>
  <c r="H35" i="5"/>
  <c r="I34" i="5"/>
  <c r="J34" i="5" s="1"/>
  <c r="H34" i="5"/>
  <c r="I33" i="5"/>
  <c r="J33" i="5" s="1"/>
  <c r="H33" i="5"/>
  <c r="I32" i="5"/>
  <c r="J32" i="5" s="1"/>
  <c r="H32" i="5"/>
  <c r="I31" i="5"/>
  <c r="J31" i="5" s="1"/>
  <c r="H31" i="5"/>
  <c r="I30" i="5"/>
  <c r="J30" i="5" s="1"/>
  <c r="H30" i="5"/>
  <c r="I29" i="5"/>
  <c r="J29" i="5" s="1"/>
  <c r="H29" i="5"/>
  <c r="I28" i="5"/>
  <c r="J28" i="5" s="1"/>
  <c r="H28" i="5"/>
  <c r="I27" i="5"/>
  <c r="J27" i="5" s="1"/>
  <c r="H27" i="5"/>
  <c r="I26" i="5"/>
  <c r="J26" i="5" s="1"/>
  <c r="H26" i="5"/>
  <c r="I25" i="5"/>
  <c r="J25" i="5" s="1"/>
  <c r="H25" i="5"/>
  <c r="I24" i="5"/>
  <c r="J24" i="5" s="1"/>
  <c r="H24" i="5"/>
  <c r="I23" i="5"/>
  <c r="J23" i="5" s="1"/>
  <c r="H23" i="5"/>
  <c r="I22" i="5"/>
  <c r="J22" i="5" s="1"/>
  <c r="H22" i="5"/>
  <c r="I21" i="5"/>
  <c r="J21" i="5" s="1"/>
  <c r="H21" i="5"/>
  <c r="I20" i="5"/>
  <c r="J20" i="5" s="1"/>
  <c r="H20" i="5"/>
  <c r="I19" i="5"/>
  <c r="J19" i="5" s="1"/>
  <c r="H19" i="5"/>
  <c r="I18" i="5"/>
  <c r="J18" i="5" s="1"/>
  <c r="H18" i="5"/>
  <c r="I17" i="5"/>
  <c r="J17" i="5" s="1"/>
  <c r="H17" i="5"/>
  <c r="I16" i="5"/>
  <c r="J16" i="5" s="1"/>
  <c r="H16" i="5"/>
  <c r="I15" i="5"/>
  <c r="J15" i="5" s="1"/>
  <c r="H15" i="5"/>
  <c r="I14" i="5"/>
  <c r="J14" i="5" s="1"/>
  <c r="H14" i="5"/>
  <c r="I13" i="5"/>
  <c r="J13" i="5" s="1"/>
  <c r="H13" i="5"/>
  <c r="I12" i="5"/>
  <c r="J12" i="5" s="1"/>
  <c r="H12" i="5"/>
  <c r="I11" i="5"/>
  <c r="J11" i="5" s="1"/>
  <c r="H11" i="5"/>
  <c r="I10" i="5"/>
  <c r="J10" i="5" s="1"/>
  <c r="H10" i="5"/>
  <c r="I9" i="5"/>
  <c r="I36" i="5" s="1"/>
  <c r="H9" i="5"/>
  <c r="H36" i="5" s="1"/>
  <c r="I6" i="5"/>
  <c r="J6" i="5" s="1"/>
  <c r="H6" i="5"/>
  <c r="I5" i="5"/>
  <c r="J5" i="5" s="1"/>
  <c r="H5" i="5"/>
  <c r="I4" i="5"/>
  <c r="J4" i="5" s="1"/>
  <c r="H4" i="5"/>
  <c r="I3" i="5"/>
  <c r="J3" i="5" s="1"/>
  <c r="H3" i="5"/>
  <c r="H7" i="5" s="1"/>
  <c r="H46" i="5" l="1"/>
  <c r="J7" i="5"/>
  <c r="J9" i="5"/>
  <c r="J36" i="5" s="1"/>
  <c r="J38" i="5"/>
  <c r="J44" i="5" s="1"/>
  <c r="I7" i="5"/>
  <c r="I46" i="5" s="1"/>
  <c r="J46" i="5" l="1"/>
</calcChain>
</file>

<file path=xl/sharedStrings.xml><?xml version="1.0" encoding="utf-8"?>
<sst xmlns="http://schemas.openxmlformats.org/spreadsheetml/2006/main" count="1082" uniqueCount="308">
  <si>
    <t>Team</t>
  </si>
  <si>
    <t>Start</t>
  </si>
  <si>
    <t>Trough</t>
  </si>
  <si>
    <t>End</t>
  </si>
  <si>
    <t>Beginner</t>
  </si>
  <si>
    <t>Intermediate</t>
  </si>
  <si>
    <t>Expert</t>
  </si>
  <si>
    <t>Experience</t>
  </si>
  <si>
    <t># of Courses</t>
  </si>
  <si>
    <t>Self Rated Scale / 10</t>
  </si>
  <si>
    <t>Beginner 1</t>
  </si>
  <si>
    <t>Investing for 2 years</t>
  </si>
  <si>
    <t>1 economics course</t>
  </si>
  <si>
    <t>Beginner 2</t>
  </si>
  <si>
    <t>Investing for over a year</t>
  </si>
  <si>
    <t>None</t>
  </si>
  <si>
    <t>Beginner 3</t>
  </si>
  <si>
    <t>3 economics, 4 finance</t>
  </si>
  <si>
    <t>Intermediate 1</t>
  </si>
  <si>
    <t>Investing for 1.5 years</t>
  </si>
  <si>
    <t>Intermediate 2</t>
  </si>
  <si>
    <t xml:space="preserve">A few </t>
  </si>
  <si>
    <t>Intermediate 3</t>
  </si>
  <si>
    <t>Investing  modestly for 4 years</t>
  </si>
  <si>
    <t>1 finance course</t>
  </si>
  <si>
    <t>Intermediate 4</t>
  </si>
  <si>
    <t>Investing for 3-4 years</t>
  </si>
  <si>
    <t>Micro and macro economics</t>
  </si>
  <si>
    <t>Expert 1</t>
  </si>
  <si>
    <t>Investing for 4-5 years</t>
  </si>
  <si>
    <t>Expert 2</t>
  </si>
  <si>
    <t>Investing for 2-4 years</t>
  </si>
  <si>
    <t>Microeconomics</t>
  </si>
  <si>
    <t>Expert 3</t>
  </si>
  <si>
    <t>Investing for 3 years</t>
  </si>
  <si>
    <t>4 to 5</t>
  </si>
  <si>
    <t>Expert 4</t>
  </si>
  <si>
    <t>Investing seriously for 5 years</t>
  </si>
  <si>
    <t>3 economics/finance courses</t>
  </si>
  <si>
    <t>Run Date</t>
  </si>
  <si>
    <t>Account</t>
  </si>
  <si>
    <t>Account Number</t>
  </si>
  <si>
    <t>Action</t>
  </si>
  <si>
    <t>Symbol</t>
  </si>
  <si>
    <t>Description</t>
  </si>
  <si>
    <t>Type</t>
  </si>
  <si>
    <t>Price ($)</t>
  </si>
  <si>
    <t>Quantity</t>
  </si>
  <si>
    <t>Commission ($)</t>
  </si>
  <si>
    <t>Fees ($)</t>
  </si>
  <si>
    <t>Accrued Interest ($)</t>
  </si>
  <si>
    <t>Amount ($)</t>
  </si>
  <si>
    <t>Settlement Date</t>
  </si>
  <si>
    <t>Individual</t>
  </si>
  <si>
    <t>Cash</t>
  </si>
  <si>
    <t>YOU SOLD SANDISK CORP COM (SNDK) (Cash)</t>
  </si>
  <si>
    <t>SNDK</t>
  </si>
  <si>
    <t>SANDISK CORP COM</t>
  </si>
  <si>
    <t>YOU SOLD SPDR GOLD TR GOLD SHS (GLD) (Cash)</t>
  </si>
  <si>
    <t>GLD</t>
  </si>
  <si>
    <t>SPDR GOLD TR GOLD SHS</t>
  </si>
  <si>
    <t>YOU SOLD ROCKET LAB CORP COM (RKLB) (Cash)</t>
  </si>
  <si>
    <t>RKLB</t>
  </si>
  <si>
    <t>ROCKET LAB CORP COM</t>
  </si>
  <si>
    <t>YOU SOLD MICRON TECHNOLOGY INC (MU) (Cash)</t>
  </si>
  <si>
    <t>MU</t>
  </si>
  <si>
    <t>MICRON TECHNOLOGY INC</t>
  </si>
  <si>
    <t>YOU SOLD KRATOS DEFENSE AND SECURITY SOLUTION... (KTOS) (Cash)</t>
  </si>
  <si>
    <t>KTOS</t>
  </si>
  <si>
    <t>KRATOS DEFENSE AND SECURITY SOLUTIONS I</t>
  </si>
  <si>
    <t>YOU SOLD SELECT SECTOR SPDR TRUST STATE STREE... (XLU) (Cash)</t>
  </si>
  <si>
    <t>XLU</t>
  </si>
  <si>
    <t>SELECT SECTOR SPDR TRUST STATE STREET U</t>
  </si>
  <si>
    <t>YOU SOLD EX-DIV DATE 05/15/26RECORD DATE 05/15/26PAYABLE DTE 06/10/26 EXXON MOBIL CORP COM EXCHANGED FOR C... (30231G102) (Cash)</t>
  </si>
  <si>
    <t>30231G102</t>
  </si>
  <si>
    <t>EXXON MOBIL CORP COM EXCHANGED FOR CUSI</t>
  </si>
  <si>
    <t>YOU SOLD VANGUARD INDEX FUNDS S&amp;P 500 ETF USD (VOO) (Cash)</t>
  </si>
  <si>
    <t>VOO</t>
  </si>
  <si>
    <t>VANGUARD INDEX FUNDS S&amp;P 500 ETF USD</t>
  </si>
  <si>
    <t>YOU SOLD EX-DIV DATE 05/14/26RECORD DATE 05/14/26PAYABLE DTE 06/04/26 DELTA AIR LINES INC (DAL) (Cash)</t>
  </si>
  <si>
    <t>DAL</t>
  </si>
  <si>
    <t>DELTA AIR LINES INC</t>
  </si>
  <si>
    <t>YOU SOLD ISHARES TRUST 1-3 YEAR TREASURY BOND ETF (SHY) (Cash)</t>
  </si>
  <si>
    <t>SHY</t>
  </si>
  <si>
    <t>ISHARES TRUST 1-3 YEAR TREASURY BOND ETF</t>
  </si>
  <si>
    <t>YOU SOLD FIDELITY 500 INDEX FUND (FXAIX) (Cash)</t>
  </si>
  <si>
    <t>FXAIX</t>
  </si>
  <si>
    <t>FIDELITY 500 INDEX FUND</t>
  </si>
  <si>
    <t>YOU SOLD ALPHABET INC CAP STK CL A (GOOGL) (Cash)</t>
  </si>
  <si>
    <t>GOOGL</t>
  </si>
  <si>
    <t>ALPHABET INC CAP STK CL A</t>
  </si>
  <si>
    <t>YOU SOLD ISHARES SILVER TR ISHARES (SLV) (Cash)</t>
  </si>
  <si>
    <t>SLV</t>
  </si>
  <si>
    <t>ISHARES SILVER TR ISHARES</t>
  </si>
  <si>
    <t>YOU SOLD ARCHER AVIATION INC COM CL A (ACHR) (Cash)</t>
  </si>
  <si>
    <t>ACHR</t>
  </si>
  <si>
    <t>ARCHER AVIATION INC COM CL A</t>
  </si>
  <si>
    <t>YOU BOUGHT SPDR GOLD TR GOLD SHS (GLD) (Cash)</t>
  </si>
  <si>
    <t>YOU BOUGHT ALPHABET INC CAP STK CL A (GOOGL) (Cash)</t>
  </si>
  <si>
    <t>YOU BOUGHT SELECT SECTOR SPDR TRUST STATE STREE... (XLU) (Cash)</t>
  </si>
  <si>
    <t>YOU SOLD STATE STREET SPDR S&amp;P 500 ETF UNITS (SPY) (Cash)</t>
  </si>
  <si>
    <t>SPY</t>
  </si>
  <si>
    <t>STATE STREET SPDR S&amp;P 500 ETF UNITS</t>
  </si>
  <si>
    <t>YOU BOUGHT ISHARES TRUST 1-3 YEAR TREASURY BOND ETF (SHY) (Cash)</t>
  </si>
  <si>
    <t>YOU SOLD DIAMONDBACK ENERGY INC COM USD0.01 (FANG) (Cash)</t>
  </si>
  <si>
    <t>FANG</t>
  </si>
  <si>
    <t>DIAMONDBACK ENERGY INC COM USD0.01</t>
  </si>
  <si>
    <t>YOU SOLD VEEVA SYSTEMS INC (VEEV) (Cash)</t>
  </si>
  <si>
    <t>VEEV</t>
  </si>
  <si>
    <t>VEEVA SYSTEMS INC</t>
  </si>
  <si>
    <t>YOU BOUGHT SANDISK CORP COM (SNDK) (Cash)</t>
  </si>
  <si>
    <t>YOU BOUGHT ROCKET LAB CORP COM (RKLB) (Cash)</t>
  </si>
  <si>
    <t>YOU SOLD PFIZER INC (PFE) (Cash)</t>
  </si>
  <si>
    <t>PFE</t>
  </si>
  <si>
    <t>PFIZER INC</t>
  </si>
  <si>
    <t>YOU BOUGHT MICRON TECHNOLOGY INC (MU) (Cash)</t>
  </si>
  <si>
    <t>YOU SOLD MICROSOFT CORP (MSFT) (Cash)</t>
  </si>
  <si>
    <t>MSFT</t>
  </si>
  <si>
    <t>MICROSOFT CORP</t>
  </si>
  <si>
    <t>YOU BOUGHT KRATOS DEFENSE AND SECURITY SOLUTION... (KTOS) (Cash)</t>
  </si>
  <si>
    <t>YOU SOLD INTERNATIONAL BUS MACH CORP COM USD0.20 (IBM) (Cash)</t>
  </si>
  <si>
    <t>IBM</t>
  </si>
  <si>
    <t>INTERNATIONAL BUS MACH CORP COM USD0.20</t>
  </si>
  <si>
    <t>YOU SOLD FASTLY INC CL A (FSLY) (Cash)</t>
  </si>
  <si>
    <t>FSLY</t>
  </si>
  <si>
    <t>FASTLY INC CL A</t>
  </si>
  <si>
    <t>YOU BOUGHT EXXON MOBIL CORP COM EXCHANGED FOR C... (30231G102) (Cash)</t>
  </si>
  <si>
    <t>YOU BOUGHT DELTA AIR LINES INC (DAL) (Cash)</t>
  </si>
  <si>
    <t>YOU SOLD CROWDSTRIKE HLDGS INC CL A (CRWD) (Cash)</t>
  </si>
  <si>
    <t>CRWD</t>
  </si>
  <si>
    <t>CROWDSTRIKE HLDGS INC CL A</t>
  </si>
  <si>
    <t>YOU SOLD CONSTELLATION ENERGY CORP COM (CEG) (Cash)</t>
  </si>
  <si>
    <t>CEG</t>
  </si>
  <si>
    <t>CONSTELLATION ENERGY CORP COM</t>
  </si>
  <si>
    <t>YOU BOUGHT ARCHER AVIATION INC COM CL A (ACHR) (Cash)</t>
  </si>
  <si>
    <t>YOU SOLD APPLE INC (AAPL) (Cash)</t>
  </si>
  <si>
    <t>AAPL</t>
  </si>
  <si>
    <t>APPLE INC</t>
  </si>
  <si>
    <t>YOU SOLD AMAZON.COM INC (AMZN) (Cash)</t>
  </si>
  <si>
    <t>AMZN</t>
  </si>
  <si>
    <t>AMAZON.COM INC</t>
  </si>
  <si>
    <t>YOU SOLD SOTERA HEALTH CO COM (SHC) (Cash)</t>
  </si>
  <si>
    <t>SHC</t>
  </si>
  <si>
    <t>SOTERA HEALTH CO COM</t>
  </si>
  <si>
    <t>YOU SOLD HAGERTY INC CL A COM (HGTY) (Cash)</t>
  </si>
  <si>
    <t>HGTY</t>
  </si>
  <si>
    <t>HAGERTY INC CL A COM</t>
  </si>
  <si>
    <t>YOU BOUGHT APPLE INC (AAPL) (Cash)</t>
  </si>
  <si>
    <t>YOU BOUGHT VEEVA SYSTEMS INC (VEEV) (Cash)</t>
  </si>
  <si>
    <t>YOU BOUGHT SOTERA HEALTH CO COM (SHC) (Cash)</t>
  </si>
  <si>
    <t>YOU BOUGHT PFIZER INC (PFE) (Cash)</t>
  </si>
  <si>
    <t>YOU SOLD NVIDIA CORPORATION COM (NVDA) (Cash)</t>
  </si>
  <si>
    <t>NVDA</t>
  </si>
  <si>
    <t>NVIDIA CORPORATION COM</t>
  </si>
  <si>
    <t>YOU SOLD NEXGEN ENERGY LTD ISIN #CA65340P1062... (NXE) (Cash)</t>
  </si>
  <si>
    <t>NXE</t>
  </si>
  <si>
    <t>NEXGEN ENERGY LTD ISIN #CA65340P1062 SE</t>
  </si>
  <si>
    <t>YOU SOLD STRATEGY INC COMMON STOCK CLASS A (MSTR) (Cash)</t>
  </si>
  <si>
    <t>MSTR</t>
  </si>
  <si>
    <t>STRATEGY INC COMMON STOCK CLASS A</t>
  </si>
  <si>
    <t>YOU BOUGHT MICROSOFT CORP (MSFT) (Cash)</t>
  </si>
  <si>
    <t>YOU BOUGHT INTERNATIONAL BUS MACH CORP COM USD0.20 (IBM) (Cash)</t>
  </si>
  <si>
    <t>YOU BOUGHT HAGERTY INC CL A COM (HGTY) (Cash)</t>
  </si>
  <si>
    <t>YOU SOLD GLOBAL X FDS GLOBAL X URANIUM (URA) (Cash)</t>
  </si>
  <si>
    <t>URA</t>
  </si>
  <si>
    <t>GLOBAL X FDS GLOBAL X URANIUM</t>
  </si>
  <si>
    <t>YOU BOUGHT FASTLY INC CL A (FSLY) (Cash)</t>
  </si>
  <si>
    <t>YOU SOLD META PLATFORMS INC CLASS A COMMON STOCK (META) (Cash)</t>
  </si>
  <si>
    <t>META</t>
  </si>
  <si>
    <t>META PLATFORMS INC CLASS A COMMON STOCK</t>
  </si>
  <si>
    <t>YOU BOUGHT CROWDSTRIKE HLDGS INC CL A (CRWD) (Cash)</t>
  </si>
  <si>
    <t>YOU BOUGHT AMAZON.COM INC (AMZN) (Cash)</t>
  </si>
  <si>
    <t>YOU SOLD OKLO INC COM CL A (OKLO) (Cash)</t>
  </si>
  <si>
    <t>OKLO</t>
  </si>
  <si>
    <t>OKLO INC COM CL A</t>
  </si>
  <si>
    <t>YOU BOUGHT NVIDIA CORPORATION COM (NVDA) (Cash)</t>
  </si>
  <si>
    <t>YOU BOUGHT NEXGEN ENERGY LTD ISIN #CA65340P1062... (NXE) (Cash)</t>
  </si>
  <si>
    <t>YOU BOUGHT STRATEGY INC COMMON STOCK CLASS A (MSTR) (Cash)</t>
  </si>
  <si>
    <t>YOU BOUGHT GLOBAL X FDS GLOBAL X URANIUM (URA) (Cash)</t>
  </si>
  <si>
    <t>YOU BOUGHT META PLATFORMS INC CLASS A COMMON STOCK (META) (Cash)</t>
  </si>
  <si>
    <t>YOU BOUGHT CONSTELLATION ENERGY CORP COM (CEG) (Cash)</t>
  </si>
  <si>
    <t>YOU BOUGHT OKLO INC COM CL A (OKLO) (Cash)</t>
  </si>
  <si>
    <t>YOU BOUGHT GOLD COM INC COM (GOLD) (Cash)</t>
  </si>
  <si>
    <t>GOLD</t>
  </si>
  <si>
    <t>GOLD COM INC COM</t>
  </si>
  <si>
    <t>YOU SOLD GOLD COM INC COM (GOLD) (Cash)</t>
  </si>
  <si>
    <t>YOU BOUGHT STATE STREET SPDR S&amp;P 500 ETF UNITS (SPY) (Cash)</t>
  </si>
  <si>
    <t>YOU BOUGHT ISHARES SILVER TR ISHARES (SLV) (Cash)</t>
  </si>
  <si>
    <t>YOU BOUGHT DIAMONDBACK ENERGY INC COM USD0.01 (FANG) (Cash)</t>
  </si>
  <si>
    <t>YOU BOUGHT VANGUARD INDEX FUNDS S&amp;P 500 ETF USD (VOO) (Cash)</t>
  </si>
  <si>
    <t>YOU BOUGHT PROSPECTUS UNDER SEPARATE COVER FIDELITY 500 INDEX FUND (FXAIX) (Cash)</t>
  </si>
  <si>
    <t>Investing Group</t>
  </si>
  <si>
    <t>Sector</t>
  </si>
  <si>
    <t>Asset Type</t>
  </si>
  <si>
    <t>Risk Level</t>
  </si>
  <si>
    <t>Total Bought ($)</t>
  </si>
  <si>
    <t>Total Sold ($)</t>
  </si>
  <si>
    <t>Net Realized Gain/Loss ($)</t>
  </si>
  <si>
    <t>Alphabet Inc Cl A</t>
  </si>
  <si>
    <t>Technology - Internet/Media</t>
  </si>
  <si>
    <t>Equity</t>
  </si>
  <si>
    <t>Moderate</t>
  </si>
  <si>
    <t>Vanguard S&amp;P 500 ETF</t>
  </si>
  <si>
    <t>Broad Market Index</t>
  </si>
  <si>
    <t>ETF</t>
  </si>
  <si>
    <t>Low-Moderate</t>
  </si>
  <si>
    <t>Fidelity 500 Index Fund</t>
  </si>
  <si>
    <t>Mutual Fund</t>
  </si>
  <si>
    <t>SPDR Gold Trust</t>
  </si>
  <si>
    <t>Commodities - Precious Metals (Gold)</t>
  </si>
  <si>
    <t>ETF (Commodity)</t>
  </si>
  <si>
    <t>Beginner Subtotal</t>
  </si>
  <si>
    <t>Micron Technology Inc</t>
  </si>
  <si>
    <t>Technology - Semiconductors</t>
  </si>
  <si>
    <t>Moderate-High</t>
  </si>
  <si>
    <t>Sandisk Corp</t>
  </si>
  <si>
    <t>Technology - Semiconductors/Storage</t>
  </si>
  <si>
    <t>Rocket Lab Corp</t>
  </si>
  <si>
    <t>Industrials - Aerospace/Space</t>
  </si>
  <si>
    <t>High</t>
  </si>
  <si>
    <t>Archer Aviation Inc Cl A</t>
  </si>
  <si>
    <t>Industrials - Advanced Air Mobility</t>
  </si>
  <si>
    <t>Fastly Inc Cl A</t>
  </si>
  <si>
    <t>Technology - Cloud/Edge Computing</t>
  </si>
  <si>
    <t>CrowdStrike Holdings Cl A</t>
  </si>
  <si>
    <t>Technology - Cybersecurity</t>
  </si>
  <si>
    <t>Nvidia Corp</t>
  </si>
  <si>
    <t>Technology - Semiconductors/AI</t>
  </si>
  <si>
    <t>Global X Uranium ETF</t>
  </si>
  <si>
    <t>Energy - Uranium/Nuclear Fuel (Thematic)</t>
  </si>
  <si>
    <t>International Business Machines Corp</t>
  </si>
  <si>
    <t>Technology - Enterprise IT</t>
  </si>
  <si>
    <t>NexGen Energy Ltd</t>
  </si>
  <si>
    <t>Energy - Uranium Mining/Exploration</t>
  </si>
  <si>
    <t>Delta Air Lines Inc</t>
  </si>
  <si>
    <t>Industrials - Airlines</t>
  </si>
  <si>
    <t>Pfizer Inc</t>
  </si>
  <si>
    <t>Healthcare - Pharmaceuticals</t>
  </si>
  <si>
    <t>Constellation Energy Corp</t>
  </si>
  <si>
    <t>Utilities - Nuclear/Clean Power</t>
  </si>
  <si>
    <t>Amazon.com Inc</t>
  </si>
  <si>
    <t>Technology - E-commerce/Cloud</t>
  </si>
  <si>
    <t>Barrick Gold Corp</t>
  </si>
  <si>
    <t>Materials - Gold Mining</t>
  </si>
  <si>
    <t>Apple Inc</t>
  </si>
  <si>
    <t>Technology - Consumer Hardware</t>
  </si>
  <si>
    <t>Veeva Systems Inc</t>
  </si>
  <si>
    <t>Healthcare - Life Sciences Software</t>
  </si>
  <si>
    <t>Strategy Inc (fka MicroStrategy)</t>
  </si>
  <si>
    <t>Technology/Bitcoin Treasury Holding Co.</t>
  </si>
  <si>
    <t>Hagerty Inc Cl A</t>
  </si>
  <si>
    <t>Financials - Specialty Insurance</t>
  </si>
  <si>
    <t>Sotera Health Co</t>
  </si>
  <si>
    <t>Healthcare - Sterilization/Lab Services</t>
  </si>
  <si>
    <t>Exxon Mobil Corp Com (exchanged for CUSIP)</t>
  </si>
  <si>
    <t>Energy - Integrated Oil &amp; Gas (Corporate Action)</t>
  </si>
  <si>
    <t>Oklo Inc Cl A</t>
  </si>
  <si>
    <t>Utilities/Energy - Advanced Nuclear (Pre-Revenue)</t>
  </si>
  <si>
    <t>Meta Platforms Inc Cl A</t>
  </si>
  <si>
    <t>Technology - Social Media/Advertising</t>
  </si>
  <si>
    <t>Microsoft Corp</t>
  </si>
  <si>
    <t>Technology - Software/Cloud</t>
  </si>
  <si>
    <t>Kratos Defense &amp; Security Solutions</t>
  </si>
  <si>
    <t>Industrials - Aerospace &amp; Defense</t>
  </si>
  <si>
    <t>Intermediate Subtotal</t>
  </si>
  <si>
    <t>Diamondback Energy Inc</t>
  </si>
  <si>
    <t>Energy - Oil &amp; Gas E&amp;P</t>
  </si>
  <si>
    <t>iShares 1-3 Year Treasury Bond ETF</t>
  </si>
  <si>
    <t>Fixed Income - Short-Term U.S. Treasuries</t>
  </si>
  <si>
    <t>Low</t>
  </si>
  <si>
    <t>Utilities Select Sector SPDR</t>
  </si>
  <si>
    <t>Utilities Sector</t>
  </si>
  <si>
    <t>SPDR S&amp;P 500 ETF</t>
  </si>
  <si>
    <t>iShares Silver Trust</t>
  </si>
  <si>
    <t>Commodities - Precious Metals (Silver)</t>
  </si>
  <si>
    <t>Expert Subtotal</t>
  </si>
  <si>
    <t>GRAND TOTAL</t>
  </si>
  <si>
    <t>5/11/2026</t>
  </si>
  <si>
    <t>5/12/2026</t>
  </si>
  <si>
    <t>5/8/2026</t>
  </si>
  <si>
    <t>4/13/2026</t>
  </si>
  <si>
    <t>4/14/2026</t>
  </si>
  <si>
    <t>4/8/2026</t>
  </si>
  <si>
    <t>4/9/2026</t>
  </si>
  <si>
    <t>4/1/2026</t>
  </si>
  <si>
    <t>4/2/2026</t>
  </si>
  <si>
    <t>3/9/2026</t>
  </si>
  <si>
    <t>3/10/2026</t>
  </si>
  <si>
    <t>2/25/2026</t>
  </si>
  <si>
    <t>2/26/2026</t>
  </si>
  <si>
    <t>2/2/2026</t>
  </si>
  <si>
    <t>2/3/2026</t>
  </si>
  <si>
    <t>1/28/2026</t>
  </si>
  <si>
    <t>1/29/2026</t>
  </si>
  <si>
    <t>1/22/2026</t>
  </si>
  <si>
    <t>1/23/2026</t>
  </si>
  <si>
    <t>Date</t>
  </si>
  <si>
    <t>Event</t>
  </si>
  <si>
    <t>Study period begins (S&amp;P 500 close: 6,858.47)</t>
  </si>
  <si>
    <t>US and Israel launch surprise strikes on Iran ("Operation Epic Fury"), killing Supreme Leader Khamenei, marking the start of the war</t>
  </si>
  <si>
    <t>Early March 2026</t>
  </si>
  <si>
    <t>Iran closes the Strait of Hormuz (~20% of global oil trade)</t>
  </si>
  <si>
    <t>Market trough: S&amp;P 500 down ~-7.5% cumulative</t>
  </si>
  <si>
    <t>Rally begins</t>
  </si>
  <si>
    <t>May 1–2, 2026</t>
  </si>
  <si>
    <t>Study period ends / market peak: S&amp;P 500 +5.4%, Nasdaq 100 +15.9% cumulative</t>
  </si>
  <si>
    <t>Bingham - CER Submission</t>
  </si>
  <si>
    <t>Data and Complimentary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</si>
</sst>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\$#,##0.00;&quot;($&quot;#,##0.00\);\-"/>
  </numFmts>
  <fonts count="11">
    <font>
      <sz val="11"/>
      <color theme="1"/>
      <name val="Aptos Narrow"/>
      <family val="2"/>
      <scheme val="minor"/>
    </font>
    <font>
      <b/>
      <sz val="12"/>
      <color theme="1"/>
      <name val="Math"/>
    </font>
    <font>
      <sz val="12"/>
      <color theme="1"/>
      <name val="Math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10"/>
      <name val="Arial"/>
      <charset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1F4E78"/>
        <bgColor rgb="FF00336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9E1F2"/>
        <bgColor rgb="FFBDD7EE"/>
      </patternFill>
    </fill>
    <fill>
      <patternFill patternType="solid">
        <fgColor rgb="FFBDD7EE"/>
        <bgColor rgb="FFD9E1F2"/>
      </patternFill>
    </fill>
    <fill>
      <patternFill patternType="solid">
        <fgColor rgb="FF8EA9DB"/>
        <bgColor rgb="FF969696"/>
      </patternFill>
    </fill>
    <fill>
      <patternFill patternType="solid">
        <fgColor rgb="FFF2F2F2"/>
        <bgColor indexed="64"/>
      </patternFill>
    </fill>
    <fill>
      <patternFill patternType="solid">
        <fgColor rgb="FFC00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8" fontId="2" fillId="2" borderId="3" xfId="0" applyNumberFormat="1" applyFont="1" applyFill="1" applyBorder="1" applyAlignment="1">
      <alignment horizontal="center" vertical="center" wrapText="1"/>
    </xf>
    <xf numFmtId="8" fontId="2" fillId="2" borderId="1" xfId="0" applyNumberFormat="1" applyFont="1" applyFill="1" applyBorder="1" applyAlignment="1">
      <alignment horizontal="center" vertical="center" wrapText="1"/>
    </xf>
    <xf numFmtId="8" fontId="2" fillId="2" borderId="4" xfId="0" applyNumberFormat="1" applyFont="1" applyFill="1" applyBorder="1" applyAlignment="1">
      <alignment horizontal="center" vertical="center" wrapText="1"/>
    </xf>
    <xf numFmtId="8" fontId="2" fillId="3" borderId="2" xfId="0" applyNumberFormat="1" applyFont="1" applyFill="1" applyBorder="1" applyAlignment="1">
      <alignment horizontal="center" vertical="center" wrapText="1"/>
    </xf>
    <xf numFmtId="8" fontId="2" fillId="3" borderId="1" xfId="0" applyNumberFormat="1" applyFont="1" applyFill="1" applyBorder="1" applyAlignment="1">
      <alignment horizontal="center" vertical="center" wrapText="1"/>
    </xf>
    <xf numFmtId="8" fontId="2" fillId="4" borderId="2" xfId="0" applyNumberFormat="1" applyFont="1" applyFill="1" applyBorder="1" applyAlignment="1">
      <alignment horizontal="center" vertical="center" wrapText="1"/>
    </xf>
    <xf numFmtId="8" fontId="2" fillId="4" borderId="1" xfId="0" applyNumberFormat="1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wrapText="1"/>
    </xf>
    <xf numFmtId="0" fontId="0" fillId="6" borderId="0" xfId="0" applyFill="1"/>
    <xf numFmtId="0" fontId="0" fillId="7" borderId="0" xfId="0" applyFill="1"/>
    <xf numFmtId="0" fontId="0" fillId="8" borderId="0" xfId="0" applyFill="1"/>
    <xf numFmtId="16" fontId="0" fillId="0" borderId="0" xfId="0" applyNumberFormat="1" applyAlignment="1">
      <alignment horizontal="right"/>
    </xf>
    <xf numFmtId="14" fontId="0" fillId="0" borderId="0" xfId="0" applyNumberFormat="1"/>
    <xf numFmtId="0" fontId="4" fillId="9" borderId="0" xfId="0" applyFont="1" applyFill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4" fillId="10" borderId="0" xfId="0" applyFont="1" applyFill="1"/>
    <xf numFmtId="0" fontId="0" fillId="10" borderId="0" xfId="0" applyFill="1"/>
    <xf numFmtId="164" fontId="4" fillId="10" borderId="0" xfId="0" applyNumberFormat="1" applyFont="1" applyFill="1"/>
    <xf numFmtId="0" fontId="3" fillId="11" borderId="0" xfId="0" applyFont="1" applyFill="1"/>
    <xf numFmtId="0" fontId="0" fillId="11" borderId="0" xfId="0" applyFill="1"/>
    <xf numFmtId="164" fontId="3" fillId="11" borderId="0" xfId="0" applyNumberFormat="1" applyFont="1" applyFill="1"/>
    <xf numFmtId="0" fontId="6" fillId="0" borderId="0" xfId="0" applyFont="1"/>
    <xf numFmtId="164" fontId="6" fillId="0" borderId="0" xfId="0" applyNumberFormat="1" applyFont="1"/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15" fontId="8" fillId="12" borderId="7" xfId="0" applyNumberFormat="1" applyFont="1" applyFill="1" applyBorder="1" applyAlignment="1">
      <alignment horizontal="left" vertical="center" wrapText="1"/>
    </xf>
    <xf numFmtId="0" fontId="10" fillId="12" borderId="8" xfId="0" applyFont="1" applyFill="1" applyBorder="1" applyAlignment="1">
      <alignment horizontal="left" vertical="center" wrapText="1"/>
    </xf>
    <xf numFmtId="15" fontId="9" fillId="0" borderId="7" xfId="0" applyNumberFormat="1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8" fillId="12" borderId="7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0" fillId="7" borderId="9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13" borderId="15" xfId="0" applyFill="1" applyBorder="1"/>
    <xf numFmtId="0" fontId="0" fillId="13" borderId="16" xfId="0" applyFill="1" applyBorder="1"/>
    <xf numFmtId="0" fontId="0" fillId="13" borderId="17" xfId="0" applyFill="1" applyBorder="1"/>
  </cellXfs>
  <cellStyles count="1">
    <cellStyle name="Normal" xfId="0" builtinId="0"/>
  </cellStyles>
  <dxfs count="2"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'25-26%20Investing%20Research/Academic%20Work/trade_pnl_by_investing_group.xlsx" TargetMode="External"/><Relationship Id="rId2" Type="http://schemas.openxmlformats.org/officeDocument/2006/relationships/externalLinkPath" Target="https://d.docs.live.net/4b2b2d1ad6a78ba7/Desktop/WPI%20Financial%20Research/'25-26%20Investing%20Research/Academic%20Work/trade_pnl_by_investing_group.xlsx" TargetMode="External"/><Relationship Id="rId1" Type="http://schemas.openxmlformats.org/officeDocument/2006/relationships/externalLinkPath" Target="/4b2b2d1ad6a78ba7/Desktop/WPI%20Financial%20Research/'25-26%20Investing%20Research/Academic%20Work/trade_pnl_by_investing_gro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&amp;L by Investing Group"/>
      <sheetName val="Trade Log"/>
    </sheetNames>
    <sheetDataSet>
      <sheetData sheetId="0" refreshError="1"/>
      <sheetData sheetId="1">
        <row r="2">
          <cell r="C2" t="str">
            <v>Intermediate</v>
          </cell>
          <cell r="E2" t="str">
            <v>SNDK</v>
          </cell>
          <cell r="M2">
            <v>97.59</v>
          </cell>
        </row>
        <row r="3">
          <cell r="C3" t="str">
            <v>Intermediate</v>
          </cell>
          <cell r="E3" t="str">
            <v>GLD</v>
          </cell>
          <cell r="M3">
            <v>19.989999999999998</v>
          </cell>
        </row>
        <row r="4">
          <cell r="C4" t="str">
            <v>Intermediate</v>
          </cell>
          <cell r="E4" t="str">
            <v>RKLB</v>
          </cell>
          <cell r="M4">
            <v>78.36</v>
          </cell>
        </row>
        <row r="5">
          <cell r="C5" t="str">
            <v>Intermediate</v>
          </cell>
          <cell r="E5" t="str">
            <v>MU</v>
          </cell>
          <cell r="M5">
            <v>220.25</v>
          </cell>
        </row>
        <row r="6">
          <cell r="C6" t="str">
            <v>Intermediate</v>
          </cell>
          <cell r="E6" t="str">
            <v>KTOS</v>
          </cell>
          <cell r="M6">
            <v>3.93</v>
          </cell>
        </row>
        <row r="7">
          <cell r="C7" t="str">
            <v>Intermediate</v>
          </cell>
          <cell r="E7" t="str">
            <v>KTOS</v>
          </cell>
          <cell r="M7">
            <v>56.17</v>
          </cell>
        </row>
        <row r="8">
          <cell r="C8" t="str">
            <v>Expert</v>
          </cell>
          <cell r="E8" t="str">
            <v>XLU</v>
          </cell>
          <cell r="M8">
            <v>40.880000000000003</v>
          </cell>
        </row>
        <row r="9">
          <cell r="C9" t="str">
            <v>Intermediate</v>
          </cell>
          <cell r="E9" t="str">
            <v>30231G102</v>
          </cell>
          <cell r="M9">
            <v>44.76</v>
          </cell>
        </row>
        <row r="10">
          <cell r="C10" t="str">
            <v>Expert</v>
          </cell>
          <cell r="E10" t="str">
            <v>XLU</v>
          </cell>
          <cell r="M10">
            <v>90.16</v>
          </cell>
        </row>
        <row r="11">
          <cell r="C11" t="str">
            <v>Beginner</v>
          </cell>
          <cell r="E11" t="str">
            <v>VOO</v>
          </cell>
          <cell r="M11">
            <v>266.89999999999998</v>
          </cell>
        </row>
        <row r="12">
          <cell r="C12" t="str">
            <v>Intermediate</v>
          </cell>
          <cell r="E12" t="str">
            <v>DAL</v>
          </cell>
          <cell r="M12">
            <v>25.87</v>
          </cell>
        </row>
        <row r="13">
          <cell r="C13" t="str">
            <v>Expert</v>
          </cell>
          <cell r="E13" t="str">
            <v>GLD</v>
          </cell>
          <cell r="M13">
            <v>88.94</v>
          </cell>
        </row>
        <row r="14">
          <cell r="C14" t="str">
            <v>Beginner</v>
          </cell>
          <cell r="E14" t="str">
            <v>GLD</v>
          </cell>
          <cell r="M14">
            <v>75.11</v>
          </cell>
        </row>
        <row r="15">
          <cell r="C15" t="str">
            <v>Expert</v>
          </cell>
          <cell r="E15" t="str">
            <v>SHY</v>
          </cell>
          <cell r="M15">
            <v>47.39</v>
          </cell>
        </row>
        <row r="16">
          <cell r="C16" t="str">
            <v>Beginner</v>
          </cell>
          <cell r="E16" t="str">
            <v>FXAIX</v>
          </cell>
          <cell r="M16">
            <v>104.9</v>
          </cell>
        </row>
        <row r="17">
          <cell r="C17" t="str">
            <v>Expert</v>
          </cell>
          <cell r="E17" t="str">
            <v>SHY</v>
          </cell>
          <cell r="M17">
            <v>82.27</v>
          </cell>
        </row>
        <row r="18">
          <cell r="C18" t="str">
            <v>Beginner</v>
          </cell>
          <cell r="E18" t="str">
            <v>GOOGL</v>
          </cell>
          <cell r="M18">
            <v>92.52</v>
          </cell>
        </row>
        <row r="19">
          <cell r="C19" t="str">
            <v>Intermediate</v>
          </cell>
          <cell r="E19" t="str">
            <v>GOOGL</v>
          </cell>
          <cell r="M19">
            <v>116.22</v>
          </cell>
        </row>
        <row r="20">
          <cell r="C20" t="str">
            <v>Expert</v>
          </cell>
          <cell r="E20" t="str">
            <v>SLV</v>
          </cell>
          <cell r="M20">
            <v>76.83</v>
          </cell>
        </row>
        <row r="21">
          <cell r="C21" t="str">
            <v>Intermediate</v>
          </cell>
          <cell r="E21" t="str">
            <v>ACHR</v>
          </cell>
          <cell r="M21">
            <v>2.98</v>
          </cell>
        </row>
        <row r="22">
          <cell r="C22" t="str">
            <v>Intermediate</v>
          </cell>
          <cell r="E22" t="str">
            <v>ACHR</v>
          </cell>
          <cell r="M22">
            <v>51.68</v>
          </cell>
        </row>
        <row r="23">
          <cell r="C23" t="str">
            <v>Beginner</v>
          </cell>
          <cell r="E23" t="str">
            <v>GLD</v>
          </cell>
          <cell r="M23">
            <v>-74.91</v>
          </cell>
        </row>
        <row r="24">
          <cell r="C24" t="str">
            <v>Beginner</v>
          </cell>
          <cell r="E24" t="str">
            <v>GOOGL</v>
          </cell>
          <cell r="M24">
            <v>-74.709999999999994</v>
          </cell>
        </row>
        <row r="25">
          <cell r="C25" t="str">
            <v>Expert</v>
          </cell>
          <cell r="E25" t="str">
            <v>XLU</v>
          </cell>
          <cell r="M25">
            <v>-92.55</v>
          </cell>
        </row>
        <row r="26">
          <cell r="C26" t="str">
            <v>Expert</v>
          </cell>
          <cell r="E26" t="str">
            <v>XLU</v>
          </cell>
          <cell r="M26">
            <v>-41.97</v>
          </cell>
        </row>
        <row r="27">
          <cell r="C27" t="str">
            <v>Expert</v>
          </cell>
          <cell r="E27" t="str">
            <v>SPY</v>
          </cell>
          <cell r="M27">
            <v>145.12</v>
          </cell>
        </row>
        <row r="28">
          <cell r="C28" t="str">
            <v>Expert</v>
          </cell>
          <cell r="E28" t="str">
            <v>SHY</v>
          </cell>
          <cell r="M28">
            <v>-82.44</v>
          </cell>
        </row>
        <row r="29">
          <cell r="C29" t="str">
            <v>Expert</v>
          </cell>
          <cell r="E29" t="str">
            <v>SHY</v>
          </cell>
          <cell r="M29">
            <v>-47.49</v>
          </cell>
        </row>
        <row r="30">
          <cell r="C30" t="str">
            <v>Expert</v>
          </cell>
          <cell r="E30" t="str">
            <v>SLV</v>
          </cell>
          <cell r="M30">
            <v>69.17</v>
          </cell>
        </row>
        <row r="31">
          <cell r="C31" t="str">
            <v>Beginner</v>
          </cell>
          <cell r="E31" t="str">
            <v>FXAIX</v>
          </cell>
          <cell r="M31">
            <v>150</v>
          </cell>
        </row>
        <row r="32">
          <cell r="C32" t="str">
            <v>Expert</v>
          </cell>
          <cell r="E32" t="str">
            <v>FANG</v>
          </cell>
          <cell r="M32">
            <v>49.22</v>
          </cell>
        </row>
        <row r="33">
          <cell r="C33" t="str">
            <v>Intermediate</v>
          </cell>
          <cell r="E33" t="str">
            <v>VEEV</v>
          </cell>
          <cell r="M33">
            <v>62.46</v>
          </cell>
        </row>
        <row r="34">
          <cell r="C34" t="str">
            <v>Intermediate</v>
          </cell>
          <cell r="E34" t="str">
            <v>SNDK</v>
          </cell>
          <cell r="M34">
            <v>-43.75</v>
          </cell>
        </row>
        <row r="35">
          <cell r="C35" t="str">
            <v>Intermediate</v>
          </cell>
          <cell r="E35" t="str">
            <v>GLD</v>
          </cell>
          <cell r="M35">
            <v>-20.11</v>
          </cell>
        </row>
        <row r="36">
          <cell r="C36" t="str">
            <v>Intermediate</v>
          </cell>
          <cell r="E36" t="str">
            <v>GLD</v>
          </cell>
          <cell r="M36">
            <v>40.729999999999997</v>
          </cell>
        </row>
        <row r="37">
          <cell r="C37" t="str">
            <v>Intermediate</v>
          </cell>
          <cell r="E37" t="str">
            <v>RKLB</v>
          </cell>
          <cell r="M37">
            <v>-43.97</v>
          </cell>
        </row>
        <row r="38">
          <cell r="C38" t="str">
            <v>Intermediate</v>
          </cell>
          <cell r="E38" t="str">
            <v>PFE</v>
          </cell>
          <cell r="M38">
            <v>16.920000000000002</v>
          </cell>
        </row>
        <row r="39">
          <cell r="C39" t="str">
            <v>Intermediate</v>
          </cell>
          <cell r="E39" t="str">
            <v>MU</v>
          </cell>
          <cell r="M39">
            <v>-102.55</v>
          </cell>
        </row>
        <row r="40">
          <cell r="C40" t="str">
            <v>Intermediate</v>
          </cell>
          <cell r="E40" t="str">
            <v>MSFT</v>
          </cell>
          <cell r="M40">
            <v>110.74</v>
          </cell>
        </row>
        <row r="41">
          <cell r="C41" t="str">
            <v>Intermediate</v>
          </cell>
          <cell r="E41" t="str">
            <v>KTOS</v>
          </cell>
          <cell r="M41">
            <v>-68.53</v>
          </cell>
        </row>
        <row r="42">
          <cell r="C42" t="str">
            <v>Intermediate</v>
          </cell>
          <cell r="E42" t="str">
            <v>KTOS</v>
          </cell>
          <cell r="M42">
            <v>-4.8</v>
          </cell>
        </row>
        <row r="43">
          <cell r="C43" t="str">
            <v>Intermediate</v>
          </cell>
          <cell r="E43" t="str">
            <v>IBM</v>
          </cell>
          <cell r="M43">
            <v>73.540000000000006</v>
          </cell>
        </row>
        <row r="44">
          <cell r="C44" t="str">
            <v>Intermediate</v>
          </cell>
          <cell r="E44" t="str">
            <v>FSLY</v>
          </cell>
          <cell r="M44">
            <v>17.739999999999998</v>
          </cell>
        </row>
        <row r="45">
          <cell r="C45" t="str">
            <v>Intermediate</v>
          </cell>
          <cell r="E45" t="str">
            <v>30231G102</v>
          </cell>
          <cell r="M45">
            <v>-48.95</v>
          </cell>
        </row>
        <row r="46">
          <cell r="C46" t="str">
            <v>Intermediate</v>
          </cell>
          <cell r="E46" t="str">
            <v>DAL</v>
          </cell>
          <cell r="M46">
            <v>-24.47</v>
          </cell>
        </row>
        <row r="47">
          <cell r="C47" t="str">
            <v>Intermediate</v>
          </cell>
          <cell r="E47" t="str">
            <v>CRWD</v>
          </cell>
          <cell r="M47">
            <v>70.290000000000006</v>
          </cell>
        </row>
        <row r="48">
          <cell r="C48" t="str">
            <v>Intermediate</v>
          </cell>
          <cell r="E48" t="str">
            <v>CEG</v>
          </cell>
          <cell r="M48">
            <v>25.78</v>
          </cell>
        </row>
        <row r="49">
          <cell r="C49" t="str">
            <v>Intermediate</v>
          </cell>
          <cell r="E49" t="str">
            <v>ACHR</v>
          </cell>
          <cell r="M49">
            <v>-41.6</v>
          </cell>
        </row>
        <row r="50">
          <cell r="C50" t="str">
            <v>Intermediate</v>
          </cell>
          <cell r="E50" t="str">
            <v>ACHR</v>
          </cell>
          <cell r="M50">
            <v>-2.4</v>
          </cell>
        </row>
        <row r="51">
          <cell r="C51" t="str">
            <v>Intermediate</v>
          </cell>
          <cell r="E51" t="str">
            <v>AAPL</v>
          </cell>
          <cell r="M51">
            <v>14.83</v>
          </cell>
        </row>
        <row r="52">
          <cell r="C52" t="str">
            <v>Intermediate</v>
          </cell>
          <cell r="E52" t="str">
            <v>AMZN</v>
          </cell>
          <cell r="M52">
            <v>24.08</v>
          </cell>
        </row>
        <row r="53">
          <cell r="C53" t="str">
            <v>Intermediate</v>
          </cell>
          <cell r="E53" t="str">
            <v>GOOGL</v>
          </cell>
          <cell r="M53">
            <v>-87.82</v>
          </cell>
        </row>
        <row r="54">
          <cell r="C54" t="str">
            <v>Intermediate</v>
          </cell>
          <cell r="E54" t="str">
            <v>SHC</v>
          </cell>
          <cell r="M54">
            <v>2.67</v>
          </cell>
        </row>
        <row r="55">
          <cell r="C55" t="str">
            <v>Intermediate</v>
          </cell>
          <cell r="E55" t="str">
            <v>SHC</v>
          </cell>
          <cell r="M55">
            <v>29.05</v>
          </cell>
        </row>
        <row r="56">
          <cell r="C56" t="str">
            <v>Intermediate</v>
          </cell>
          <cell r="E56" t="str">
            <v>HGTY</v>
          </cell>
          <cell r="M56">
            <v>2.86</v>
          </cell>
        </row>
        <row r="57">
          <cell r="C57" t="str">
            <v>Intermediate</v>
          </cell>
          <cell r="E57" t="str">
            <v>HGTY</v>
          </cell>
          <cell r="M57">
            <v>9.83</v>
          </cell>
        </row>
        <row r="58">
          <cell r="C58" t="str">
            <v>Intermediate</v>
          </cell>
          <cell r="E58" t="str">
            <v>AAPL</v>
          </cell>
          <cell r="M58">
            <v>-14.94</v>
          </cell>
        </row>
        <row r="59">
          <cell r="C59" t="str">
            <v>Intermediate</v>
          </cell>
          <cell r="E59" t="str">
            <v>VEEV</v>
          </cell>
          <cell r="M59">
            <v>-63.97</v>
          </cell>
        </row>
        <row r="60">
          <cell r="C60" t="str">
            <v>Intermediate</v>
          </cell>
          <cell r="E60" t="str">
            <v>SHC</v>
          </cell>
          <cell r="M60">
            <v>-32.049999999999997</v>
          </cell>
        </row>
        <row r="61">
          <cell r="C61" t="str">
            <v>Intermediate</v>
          </cell>
          <cell r="E61" t="str">
            <v>SHC</v>
          </cell>
          <cell r="M61">
            <v>-2.95</v>
          </cell>
        </row>
        <row r="62">
          <cell r="C62" t="str">
            <v>Intermediate</v>
          </cell>
          <cell r="E62" t="str">
            <v>GLD</v>
          </cell>
          <cell r="M62">
            <v>-14.35</v>
          </cell>
        </row>
        <row r="63">
          <cell r="C63" t="str">
            <v>Intermediate</v>
          </cell>
          <cell r="E63" t="str">
            <v>PFE</v>
          </cell>
          <cell r="M63">
            <v>-15.99</v>
          </cell>
        </row>
        <row r="64">
          <cell r="C64" t="str">
            <v>Intermediate</v>
          </cell>
          <cell r="E64" t="str">
            <v>NVDA</v>
          </cell>
          <cell r="M64">
            <v>78.83</v>
          </cell>
        </row>
        <row r="65">
          <cell r="C65" t="str">
            <v>Intermediate</v>
          </cell>
          <cell r="E65" t="str">
            <v>NXE</v>
          </cell>
          <cell r="M65">
            <v>0.87</v>
          </cell>
        </row>
        <row r="66">
          <cell r="C66" t="str">
            <v>Intermediate</v>
          </cell>
          <cell r="E66" t="str">
            <v>NXE</v>
          </cell>
          <cell r="M66">
            <v>25.85</v>
          </cell>
        </row>
        <row r="67">
          <cell r="C67" t="str">
            <v>Intermediate</v>
          </cell>
          <cell r="E67" t="str">
            <v>MSTR</v>
          </cell>
          <cell r="M67">
            <v>47.97</v>
          </cell>
        </row>
        <row r="68">
          <cell r="C68" t="str">
            <v>Intermediate</v>
          </cell>
          <cell r="E68" t="str">
            <v>MSFT</v>
          </cell>
          <cell r="M68">
            <v>-119.63</v>
          </cell>
        </row>
        <row r="69">
          <cell r="C69" t="str">
            <v>Intermediate</v>
          </cell>
          <cell r="E69" t="str">
            <v>IBM</v>
          </cell>
          <cell r="M69">
            <v>-71.8</v>
          </cell>
        </row>
        <row r="70">
          <cell r="C70" t="str">
            <v>Intermediate</v>
          </cell>
          <cell r="E70" t="str">
            <v>HGTY</v>
          </cell>
          <cell r="M70">
            <v>-11.62</v>
          </cell>
        </row>
        <row r="71">
          <cell r="C71" t="str">
            <v>Intermediate</v>
          </cell>
          <cell r="E71" t="str">
            <v>HGTY</v>
          </cell>
          <cell r="M71">
            <v>-3.38</v>
          </cell>
        </row>
        <row r="72">
          <cell r="C72" t="str">
            <v>Intermediate</v>
          </cell>
          <cell r="E72" t="str">
            <v>URA</v>
          </cell>
          <cell r="M72">
            <v>22.74</v>
          </cell>
        </row>
        <row r="73">
          <cell r="C73" t="str">
            <v>Intermediate</v>
          </cell>
          <cell r="E73" t="str">
            <v>URA</v>
          </cell>
          <cell r="M73">
            <v>56</v>
          </cell>
        </row>
        <row r="74">
          <cell r="C74" t="str">
            <v>Intermediate</v>
          </cell>
          <cell r="E74" t="str">
            <v>FSLY</v>
          </cell>
          <cell r="M74">
            <v>-9.98</v>
          </cell>
        </row>
        <row r="75">
          <cell r="C75" t="str">
            <v>Intermediate</v>
          </cell>
          <cell r="E75" t="str">
            <v>META</v>
          </cell>
          <cell r="M75">
            <v>68.39</v>
          </cell>
        </row>
        <row r="76">
          <cell r="C76" t="str">
            <v>Intermediate</v>
          </cell>
          <cell r="E76" t="str">
            <v>CRWD</v>
          </cell>
          <cell r="M76">
            <v>-64.86</v>
          </cell>
        </row>
        <row r="77">
          <cell r="C77" t="str">
            <v>Intermediate</v>
          </cell>
          <cell r="E77" t="str">
            <v>AMZN</v>
          </cell>
          <cell r="M77">
            <v>-23.98</v>
          </cell>
        </row>
        <row r="78">
          <cell r="C78" t="str">
            <v>Intermediate</v>
          </cell>
          <cell r="E78" t="str">
            <v>OKLO</v>
          </cell>
          <cell r="M78">
            <v>45.64</v>
          </cell>
        </row>
        <row r="79">
          <cell r="C79" t="str">
            <v>Intermediate</v>
          </cell>
          <cell r="E79" t="str">
            <v>GOOGL</v>
          </cell>
          <cell r="M79">
            <v>90.42</v>
          </cell>
        </row>
        <row r="80">
          <cell r="C80" t="str">
            <v>Intermediate</v>
          </cell>
          <cell r="E80" t="str">
            <v>GLD</v>
          </cell>
          <cell r="M80">
            <v>-27.18</v>
          </cell>
        </row>
        <row r="81">
          <cell r="C81" t="str">
            <v>Intermediate</v>
          </cell>
          <cell r="E81" t="str">
            <v>NVDA</v>
          </cell>
          <cell r="M81">
            <v>-74.819999999999993</v>
          </cell>
        </row>
        <row r="82">
          <cell r="C82" t="str">
            <v>Intermediate</v>
          </cell>
          <cell r="E82" t="str">
            <v>NXE</v>
          </cell>
          <cell r="M82">
            <v>-24.19</v>
          </cell>
        </row>
        <row r="83">
          <cell r="C83" t="str">
            <v>Intermediate</v>
          </cell>
          <cell r="E83" t="str">
            <v>NXE</v>
          </cell>
          <cell r="M83">
            <v>-0.81</v>
          </cell>
        </row>
        <row r="84">
          <cell r="C84" t="str">
            <v>Intermediate</v>
          </cell>
          <cell r="E84" t="str">
            <v>MSTR</v>
          </cell>
          <cell r="M84">
            <v>-49.86</v>
          </cell>
        </row>
        <row r="85">
          <cell r="C85" t="str">
            <v>Intermediate</v>
          </cell>
          <cell r="E85" t="str">
            <v>URA</v>
          </cell>
          <cell r="M85">
            <v>-53.32</v>
          </cell>
        </row>
        <row r="86">
          <cell r="C86" t="str">
            <v>Intermediate</v>
          </cell>
          <cell r="E86" t="str">
            <v>URA</v>
          </cell>
          <cell r="M86">
            <v>-21.65</v>
          </cell>
        </row>
        <row r="87">
          <cell r="C87" t="str">
            <v>Intermediate</v>
          </cell>
          <cell r="E87" t="str">
            <v>META</v>
          </cell>
          <cell r="M87">
            <v>-74.760000000000005</v>
          </cell>
        </row>
        <row r="88">
          <cell r="C88" t="str">
            <v>Intermediate</v>
          </cell>
          <cell r="E88" t="str">
            <v>CEG</v>
          </cell>
          <cell r="M88">
            <v>-24.97</v>
          </cell>
        </row>
        <row r="89">
          <cell r="C89" t="str">
            <v>Intermediate</v>
          </cell>
          <cell r="E89" t="str">
            <v>OKLO</v>
          </cell>
          <cell r="M89">
            <v>-50</v>
          </cell>
        </row>
        <row r="90">
          <cell r="C90" t="str">
            <v>Intermediate</v>
          </cell>
          <cell r="E90" t="str">
            <v>GOOGL</v>
          </cell>
          <cell r="M90">
            <v>-99.93</v>
          </cell>
        </row>
        <row r="91">
          <cell r="C91" t="str">
            <v>Intermediate</v>
          </cell>
          <cell r="E91" t="str">
            <v>GOLD</v>
          </cell>
          <cell r="M91">
            <v>-25.96</v>
          </cell>
        </row>
        <row r="92">
          <cell r="C92" t="str">
            <v>Intermediate</v>
          </cell>
          <cell r="E92" t="str">
            <v>GOLD</v>
          </cell>
          <cell r="M92">
            <v>26.03</v>
          </cell>
        </row>
        <row r="93">
          <cell r="C93" t="str">
            <v>Expert</v>
          </cell>
          <cell r="E93" t="str">
            <v>GLD</v>
          </cell>
          <cell r="M93">
            <v>-99.8</v>
          </cell>
        </row>
        <row r="94">
          <cell r="C94" t="str">
            <v>Expert</v>
          </cell>
          <cell r="E94" t="str">
            <v>SPY</v>
          </cell>
          <cell r="M94">
            <v>-149.47999999999999</v>
          </cell>
        </row>
        <row r="95">
          <cell r="C95" t="str">
            <v>Expert</v>
          </cell>
          <cell r="E95" t="str">
            <v>SLV</v>
          </cell>
          <cell r="M95">
            <v>-207.81</v>
          </cell>
        </row>
        <row r="96">
          <cell r="C96" t="str">
            <v>Expert</v>
          </cell>
          <cell r="E96" t="str">
            <v>FANG</v>
          </cell>
          <cell r="M96">
            <v>-42.82</v>
          </cell>
        </row>
        <row r="97">
          <cell r="C97" t="str">
            <v>Beginner</v>
          </cell>
          <cell r="E97" t="str">
            <v>VOO</v>
          </cell>
          <cell r="M97">
            <v>-249.49</v>
          </cell>
        </row>
        <row r="98">
          <cell r="C98" t="str">
            <v>Beginner</v>
          </cell>
          <cell r="E98" t="str">
            <v>FXAIX</v>
          </cell>
          <cell r="M98">
            <v>-250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B9B48-EF13-4FA0-9690-B9335EBB9946}">
  <dimension ref="B1:D4"/>
  <sheetViews>
    <sheetView tabSelected="1" workbookViewId="0">
      <selection activeCell="F5" sqref="F5"/>
    </sheetView>
  </sheetViews>
  <sheetFormatPr defaultRowHeight="14.25"/>
  <cols>
    <col min="3" max="3" width="12.53125" customWidth="1"/>
    <col min="4" max="4" width="9.06640625" customWidth="1"/>
  </cols>
  <sheetData>
    <row r="1" spans="2:4" ht="14.65" thickBot="1"/>
    <row r="2" spans="2:4" ht="14.65" thickBot="1">
      <c r="B2" s="37" t="s">
        <v>306</v>
      </c>
      <c r="C2" s="38"/>
      <c r="D2" s="39"/>
    </row>
    <row r="3" spans="2:4" ht="14.65" thickBot="1">
      <c r="B3" s="43"/>
      <c r="C3" s="44"/>
      <c r="D3" s="45"/>
    </row>
    <row r="4" spans="2:4" ht="14.65" thickBot="1">
      <c r="B4" s="40" t="s">
        <v>307</v>
      </c>
      <c r="C4" s="41"/>
      <c r="D4" s="42"/>
    </row>
  </sheetData>
  <mergeCells count="2">
    <mergeCell ref="B2:D2"/>
    <mergeCell ref="B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F5F0E-3CA4-4D3F-937F-D2DFC2EA29A5}">
  <dimension ref="B2:J46"/>
  <sheetViews>
    <sheetView workbookViewId="0">
      <selection activeCell="L29" sqref="L29"/>
    </sheetView>
  </sheetViews>
  <sheetFormatPr defaultRowHeight="14.25"/>
  <cols>
    <col min="2" max="2" width="21.53125" bestFit="1" customWidth="1"/>
    <col min="3" max="3" width="11" bestFit="1" customWidth="1"/>
    <col min="4" max="4" width="42.33203125" bestFit="1" customWidth="1"/>
    <col min="5" max="5" width="45.6640625" bestFit="1" customWidth="1"/>
    <col min="6" max="6" width="16.73046875" bestFit="1" customWidth="1"/>
    <col min="7" max="7" width="13.53125" bestFit="1" customWidth="1"/>
    <col min="8" max="8" width="10.73046875" bestFit="1" customWidth="1"/>
    <col min="9" max="9" width="9.3984375" bestFit="1" customWidth="1"/>
    <col min="10" max="10" width="13.1328125" bestFit="1" customWidth="1"/>
  </cols>
  <sheetData>
    <row r="2" spans="2:10" ht="55.9">
      <c r="B2" s="11" t="s">
        <v>191</v>
      </c>
      <c r="C2" s="11" t="s">
        <v>43</v>
      </c>
      <c r="D2" s="11" t="s">
        <v>44</v>
      </c>
      <c r="E2" s="11" t="s">
        <v>192</v>
      </c>
      <c r="F2" s="11" t="s">
        <v>193</v>
      </c>
      <c r="G2" s="11" t="s">
        <v>194</v>
      </c>
      <c r="H2" s="11" t="s">
        <v>195</v>
      </c>
      <c r="I2" s="11" t="s">
        <v>196</v>
      </c>
      <c r="J2" s="11" t="s">
        <v>197</v>
      </c>
    </row>
    <row r="3" spans="2:10">
      <c r="B3" s="17" t="s">
        <v>4</v>
      </c>
      <c r="C3" s="18" t="s">
        <v>89</v>
      </c>
      <c r="D3" s="19" t="s">
        <v>198</v>
      </c>
      <c r="E3" s="19" t="s">
        <v>199</v>
      </c>
      <c r="F3" s="19" t="s">
        <v>200</v>
      </c>
      <c r="G3" s="19" t="s">
        <v>201</v>
      </c>
      <c r="H3" s="20">
        <f>SUMIFS('[1]Trade Log'!$M$2:$M$98,'[1]Trade Log'!$C$2:$C$98,B3,'[1]Trade Log'!$E$2:$E$98,C3,'[1]Trade Log'!$M$2:$M$98,"&lt;0")</f>
        <v>-74.709999999999994</v>
      </c>
      <c r="I3" s="20">
        <f>SUMIFS('[1]Trade Log'!$M$2:$M$98,'[1]Trade Log'!$C$2:$C$98,B3,'[1]Trade Log'!$E$2:$E$98,C3,'[1]Trade Log'!$M$2:$M$98,"&gt;0")</f>
        <v>92.52</v>
      </c>
      <c r="J3" s="20">
        <f>I3+H3</f>
        <v>17.810000000000002</v>
      </c>
    </row>
    <row r="4" spans="2:10">
      <c r="B4" s="17" t="s">
        <v>4</v>
      </c>
      <c r="C4" s="18" t="s">
        <v>77</v>
      </c>
      <c r="D4" s="19" t="s">
        <v>202</v>
      </c>
      <c r="E4" s="19" t="s">
        <v>203</v>
      </c>
      <c r="F4" s="19" t="s">
        <v>204</v>
      </c>
      <c r="G4" s="19" t="s">
        <v>205</v>
      </c>
      <c r="H4" s="20">
        <f>SUMIFS('[1]Trade Log'!$M$2:$M$98,'[1]Trade Log'!$C$2:$C$98,B4,'[1]Trade Log'!$E$2:$E$98,C4,'[1]Trade Log'!$M$2:$M$98,"&lt;0")</f>
        <v>-249.49</v>
      </c>
      <c r="I4" s="20">
        <f>SUMIFS('[1]Trade Log'!$M$2:$M$98,'[1]Trade Log'!$C$2:$C$98,B4,'[1]Trade Log'!$E$2:$E$98,C4,'[1]Trade Log'!$M$2:$M$98,"&gt;0")</f>
        <v>266.89999999999998</v>
      </c>
      <c r="J4" s="20">
        <f>I4+H4</f>
        <v>17.409999999999968</v>
      </c>
    </row>
    <row r="5" spans="2:10">
      <c r="B5" s="17" t="s">
        <v>4</v>
      </c>
      <c r="C5" s="18" t="s">
        <v>86</v>
      </c>
      <c r="D5" s="19" t="s">
        <v>206</v>
      </c>
      <c r="E5" s="19" t="s">
        <v>203</v>
      </c>
      <c r="F5" s="19" t="s">
        <v>207</v>
      </c>
      <c r="G5" s="19" t="s">
        <v>205</v>
      </c>
      <c r="H5" s="20">
        <f>SUMIFS('[1]Trade Log'!$M$2:$M$98,'[1]Trade Log'!$C$2:$C$98,B5,'[1]Trade Log'!$E$2:$E$98,C5,'[1]Trade Log'!$M$2:$M$98,"&lt;0")</f>
        <v>-250</v>
      </c>
      <c r="I5" s="20">
        <f>SUMIFS('[1]Trade Log'!$M$2:$M$98,'[1]Trade Log'!$C$2:$C$98,B5,'[1]Trade Log'!$E$2:$E$98,C5,'[1]Trade Log'!$M$2:$M$98,"&gt;0")</f>
        <v>254.9</v>
      </c>
      <c r="J5" s="20">
        <f>I5+H5</f>
        <v>4.9000000000000057</v>
      </c>
    </row>
    <row r="6" spans="2:10">
      <c r="B6" s="17" t="s">
        <v>4</v>
      </c>
      <c r="C6" s="18" t="s">
        <v>59</v>
      </c>
      <c r="D6" s="19" t="s">
        <v>208</v>
      </c>
      <c r="E6" s="19" t="s">
        <v>209</v>
      </c>
      <c r="F6" s="19" t="s">
        <v>210</v>
      </c>
      <c r="G6" s="19" t="s">
        <v>205</v>
      </c>
      <c r="H6" s="20">
        <f>SUMIFS('[1]Trade Log'!$M$2:$M$98,'[1]Trade Log'!$C$2:$C$98,B6,'[1]Trade Log'!$E$2:$E$98,C6,'[1]Trade Log'!$M$2:$M$98,"&lt;0")</f>
        <v>-74.91</v>
      </c>
      <c r="I6" s="20">
        <f>SUMIFS('[1]Trade Log'!$M$2:$M$98,'[1]Trade Log'!$C$2:$C$98,B6,'[1]Trade Log'!$E$2:$E$98,C6,'[1]Trade Log'!$M$2:$M$98,"&gt;0")</f>
        <v>75.11</v>
      </c>
      <c r="J6" s="20">
        <f>I6+H6</f>
        <v>0.20000000000000284</v>
      </c>
    </row>
    <row r="7" spans="2:10">
      <c r="B7" s="21" t="s">
        <v>211</v>
      </c>
      <c r="C7" s="22"/>
      <c r="D7" s="22"/>
      <c r="E7" s="22"/>
      <c r="F7" s="22"/>
      <c r="G7" s="22"/>
      <c r="H7" s="23">
        <f>SUM(H3:H6)</f>
        <v>-649.11</v>
      </c>
      <c r="I7" s="23">
        <f>SUM(I3:I6)</f>
        <v>689.43</v>
      </c>
      <c r="J7" s="23">
        <f>SUM(J3:J6)</f>
        <v>40.319999999999979</v>
      </c>
    </row>
    <row r="9" spans="2:10">
      <c r="B9" s="17" t="s">
        <v>5</v>
      </c>
      <c r="C9" s="18" t="s">
        <v>65</v>
      </c>
      <c r="D9" s="19" t="s">
        <v>212</v>
      </c>
      <c r="E9" s="19" t="s">
        <v>213</v>
      </c>
      <c r="F9" s="19" t="s">
        <v>200</v>
      </c>
      <c r="G9" s="19" t="s">
        <v>214</v>
      </c>
      <c r="H9" s="20">
        <f>SUMIFS('[1]Trade Log'!$M$2:$M$98,'[1]Trade Log'!$C$2:$C$98,B9,'[1]Trade Log'!$E$2:$E$98,C9,'[1]Trade Log'!$M$2:$M$98,"&lt;0")</f>
        <v>-102.55</v>
      </c>
      <c r="I9" s="20">
        <f>SUMIFS('[1]Trade Log'!$M$2:$M$98,'[1]Trade Log'!$C$2:$C$98,B9,'[1]Trade Log'!$E$2:$E$98,C9,'[1]Trade Log'!$M$2:$M$98,"&gt;0")</f>
        <v>220.25</v>
      </c>
      <c r="J9" s="20">
        <f t="shared" ref="J9:J35" si="0">I9+H9</f>
        <v>117.7</v>
      </c>
    </row>
    <row r="10" spans="2:10">
      <c r="B10" s="17" t="s">
        <v>5</v>
      </c>
      <c r="C10" s="18" t="s">
        <v>56</v>
      </c>
      <c r="D10" s="19" t="s">
        <v>215</v>
      </c>
      <c r="E10" s="19" t="s">
        <v>216</v>
      </c>
      <c r="F10" s="19" t="s">
        <v>200</v>
      </c>
      <c r="G10" s="19" t="s">
        <v>214</v>
      </c>
      <c r="H10" s="20">
        <f>SUMIFS('[1]Trade Log'!$M$2:$M$98,'[1]Trade Log'!$C$2:$C$98,B10,'[1]Trade Log'!$E$2:$E$98,C10,'[1]Trade Log'!$M$2:$M$98,"&lt;0")</f>
        <v>-43.75</v>
      </c>
      <c r="I10" s="20">
        <f>SUMIFS('[1]Trade Log'!$M$2:$M$98,'[1]Trade Log'!$C$2:$C$98,B10,'[1]Trade Log'!$E$2:$E$98,C10,'[1]Trade Log'!$M$2:$M$98,"&gt;0")</f>
        <v>97.59</v>
      </c>
      <c r="J10" s="20">
        <f t="shared" si="0"/>
        <v>53.84</v>
      </c>
    </row>
    <row r="11" spans="2:10">
      <c r="B11" s="17" t="s">
        <v>5</v>
      </c>
      <c r="C11" s="18" t="s">
        <v>62</v>
      </c>
      <c r="D11" s="19" t="s">
        <v>217</v>
      </c>
      <c r="E11" s="19" t="s">
        <v>218</v>
      </c>
      <c r="F11" s="19" t="s">
        <v>200</v>
      </c>
      <c r="G11" s="19" t="s">
        <v>219</v>
      </c>
      <c r="H11" s="20">
        <f>SUMIFS('[1]Trade Log'!$M$2:$M$98,'[1]Trade Log'!$C$2:$C$98,B11,'[1]Trade Log'!$E$2:$E$98,C11,'[1]Trade Log'!$M$2:$M$98,"&lt;0")</f>
        <v>-43.97</v>
      </c>
      <c r="I11" s="20">
        <f>SUMIFS('[1]Trade Log'!$M$2:$M$98,'[1]Trade Log'!$C$2:$C$98,B11,'[1]Trade Log'!$E$2:$E$98,C11,'[1]Trade Log'!$M$2:$M$98,"&gt;0")</f>
        <v>78.36</v>
      </c>
      <c r="J11" s="20">
        <f t="shared" si="0"/>
        <v>34.39</v>
      </c>
    </row>
    <row r="12" spans="2:10">
      <c r="B12" s="17" t="s">
        <v>5</v>
      </c>
      <c r="C12" s="18" t="s">
        <v>89</v>
      </c>
      <c r="D12" s="19" t="s">
        <v>198</v>
      </c>
      <c r="E12" s="19" t="s">
        <v>199</v>
      </c>
      <c r="F12" s="19" t="s">
        <v>200</v>
      </c>
      <c r="G12" s="19" t="s">
        <v>201</v>
      </c>
      <c r="H12" s="20">
        <f>SUMIFS('[1]Trade Log'!$M$2:$M$98,'[1]Trade Log'!$C$2:$C$98,B12,'[1]Trade Log'!$E$2:$E$98,C12,'[1]Trade Log'!$M$2:$M$98,"&lt;0")</f>
        <v>-187.75</v>
      </c>
      <c r="I12" s="20">
        <f>SUMIFS('[1]Trade Log'!$M$2:$M$98,'[1]Trade Log'!$C$2:$C$98,B12,'[1]Trade Log'!$E$2:$E$98,C12,'[1]Trade Log'!$M$2:$M$98,"&gt;0")</f>
        <v>206.64</v>
      </c>
      <c r="J12" s="20">
        <f t="shared" si="0"/>
        <v>18.889999999999986</v>
      </c>
    </row>
    <row r="13" spans="2:10">
      <c r="B13" s="17" t="s">
        <v>5</v>
      </c>
      <c r="C13" s="18" t="s">
        <v>95</v>
      </c>
      <c r="D13" s="19" t="s">
        <v>220</v>
      </c>
      <c r="E13" s="19" t="s">
        <v>221</v>
      </c>
      <c r="F13" s="19" t="s">
        <v>200</v>
      </c>
      <c r="G13" s="19" t="s">
        <v>219</v>
      </c>
      <c r="H13" s="20">
        <f>SUMIFS('[1]Trade Log'!$M$2:$M$98,'[1]Trade Log'!$C$2:$C$98,B13,'[1]Trade Log'!$E$2:$E$98,C13,'[1]Trade Log'!$M$2:$M$98,"&lt;0")</f>
        <v>-44</v>
      </c>
      <c r="I13" s="20">
        <f>SUMIFS('[1]Trade Log'!$M$2:$M$98,'[1]Trade Log'!$C$2:$C$98,B13,'[1]Trade Log'!$E$2:$E$98,C13,'[1]Trade Log'!$M$2:$M$98,"&gt;0")</f>
        <v>54.66</v>
      </c>
      <c r="J13" s="20">
        <f t="shared" si="0"/>
        <v>10.659999999999997</v>
      </c>
    </row>
    <row r="14" spans="2:10">
      <c r="B14" s="17" t="s">
        <v>5</v>
      </c>
      <c r="C14" s="18" t="s">
        <v>124</v>
      </c>
      <c r="D14" s="19" t="s">
        <v>222</v>
      </c>
      <c r="E14" s="19" t="s">
        <v>223</v>
      </c>
      <c r="F14" s="19" t="s">
        <v>200</v>
      </c>
      <c r="G14" s="19" t="s">
        <v>219</v>
      </c>
      <c r="H14" s="20">
        <f>SUMIFS('[1]Trade Log'!$M$2:$M$98,'[1]Trade Log'!$C$2:$C$98,B14,'[1]Trade Log'!$E$2:$E$98,C14,'[1]Trade Log'!$M$2:$M$98,"&lt;0")</f>
        <v>-9.98</v>
      </c>
      <c r="I14" s="20">
        <f>SUMIFS('[1]Trade Log'!$M$2:$M$98,'[1]Trade Log'!$C$2:$C$98,B14,'[1]Trade Log'!$E$2:$E$98,C14,'[1]Trade Log'!$M$2:$M$98,"&gt;0")</f>
        <v>17.739999999999998</v>
      </c>
      <c r="J14" s="20">
        <f t="shared" si="0"/>
        <v>7.759999999999998</v>
      </c>
    </row>
    <row r="15" spans="2:10">
      <c r="B15" s="17" t="s">
        <v>5</v>
      </c>
      <c r="C15" s="18" t="s">
        <v>129</v>
      </c>
      <c r="D15" s="19" t="s">
        <v>224</v>
      </c>
      <c r="E15" s="19" t="s">
        <v>225</v>
      </c>
      <c r="F15" s="19" t="s">
        <v>200</v>
      </c>
      <c r="G15" s="19" t="s">
        <v>214</v>
      </c>
      <c r="H15" s="20">
        <f>SUMIFS('[1]Trade Log'!$M$2:$M$98,'[1]Trade Log'!$C$2:$C$98,B15,'[1]Trade Log'!$E$2:$E$98,C15,'[1]Trade Log'!$M$2:$M$98,"&lt;0")</f>
        <v>-64.86</v>
      </c>
      <c r="I15" s="20">
        <f>SUMIFS('[1]Trade Log'!$M$2:$M$98,'[1]Trade Log'!$C$2:$C$98,B15,'[1]Trade Log'!$E$2:$E$98,C15,'[1]Trade Log'!$M$2:$M$98,"&gt;0")</f>
        <v>70.290000000000006</v>
      </c>
      <c r="J15" s="20">
        <f t="shared" si="0"/>
        <v>5.4300000000000068</v>
      </c>
    </row>
    <row r="16" spans="2:10">
      <c r="B16" s="17" t="s">
        <v>5</v>
      </c>
      <c r="C16" s="18" t="s">
        <v>152</v>
      </c>
      <c r="D16" s="19" t="s">
        <v>226</v>
      </c>
      <c r="E16" s="19" t="s">
        <v>227</v>
      </c>
      <c r="F16" s="19" t="s">
        <v>200</v>
      </c>
      <c r="G16" s="19" t="s">
        <v>214</v>
      </c>
      <c r="H16" s="20">
        <f>SUMIFS('[1]Trade Log'!$M$2:$M$98,'[1]Trade Log'!$C$2:$C$98,B16,'[1]Trade Log'!$E$2:$E$98,C16,'[1]Trade Log'!$M$2:$M$98,"&lt;0")</f>
        <v>-74.819999999999993</v>
      </c>
      <c r="I16" s="20">
        <f>SUMIFS('[1]Trade Log'!$M$2:$M$98,'[1]Trade Log'!$C$2:$C$98,B16,'[1]Trade Log'!$E$2:$E$98,C16,'[1]Trade Log'!$M$2:$M$98,"&gt;0")</f>
        <v>78.83</v>
      </c>
      <c r="J16" s="20">
        <f t="shared" si="0"/>
        <v>4.0100000000000051</v>
      </c>
    </row>
    <row r="17" spans="2:10">
      <c r="B17" s="17" t="s">
        <v>5</v>
      </c>
      <c r="C17" s="18" t="s">
        <v>164</v>
      </c>
      <c r="D17" s="19" t="s">
        <v>228</v>
      </c>
      <c r="E17" s="19" t="s">
        <v>229</v>
      </c>
      <c r="F17" s="19" t="s">
        <v>204</v>
      </c>
      <c r="G17" s="19" t="s">
        <v>214</v>
      </c>
      <c r="H17" s="20">
        <f>SUMIFS('[1]Trade Log'!$M$2:$M$98,'[1]Trade Log'!$C$2:$C$98,B17,'[1]Trade Log'!$E$2:$E$98,C17,'[1]Trade Log'!$M$2:$M$98,"&lt;0")</f>
        <v>-74.97</v>
      </c>
      <c r="I17" s="20">
        <f>SUMIFS('[1]Trade Log'!$M$2:$M$98,'[1]Trade Log'!$C$2:$C$98,B17,'[1]Trade Log'!$E$2:$E$98,C17,'[1]Trade Log'!$M$2:$M$98,"&gt;0")</f>
        <v>78.739999999999995</v>
      </c>
      <c r="J17" s="20">
        <f t="shared" si="0"/>
        <v>3.769999999999996</v>
      </c>
    </row>
    <row r="18" spans="2:10">
      <c r="B18" s="17" t="s">
        <v>5</v>
      </c>
      <c r="C18" s="18" t="s">
        <v>121</v>
      </c>
      <c r="D18" s="19" t="s">
        <v>230</v>
      </c>
      <c r="E18" s="19" t="s">
        <v>231</v>
      </c>
      <c r="F18" s="19" t="s">
        <v>200</v>
      </c>
      <c r="G18" s="19" t="s">
        <v>205</v>
      </c>
      <c r="H18" s="20">
        <f>SUMIFS('[1]Trade Log'!$M$2:$M$98,'[1]Trade Log'!$C$2:$C$98,B18,'[1]Trade Log'!$E$2:$E$98,C18,'[1]Trade Log'!$M$2:$M$98,"&lt;0")</f>
        <v>-71.8</v>
      </c>
      <c r="I18" s="20">
        <f>SUMIFS('[1]Trade Log'!$M$2:$M$98,'[1]Trade Log'!$C$2:$C$98,B18,'[1]Trade Log'!$E$2:$E$98,C18,'[1]Trade Log'!$M$2:$M$98,"&gt;0")</f>
        <v>73.540000000000006</v>
      </c>
      <c r="J18" s="20">
        <f t="shared" si="0"/>
        <v>1.7400000000000091</v>
      </c>
    </row>
    <row r="19" spans="2:10">
      <c r="B19" s="17" t="s">
        <v>5</v>
      </c>
      <c r="C19" s="18" t="s">
        <v>155</v>
      </c>
      <c r="D19" s="19" t="s">
        <v>232</v>
      </c>
      <c r="E19" s="19" t="s">
        <v>233</v>
      </c>
      <c r="F19" s="19" t="s">
        <v>200</v>
      </c>
      <c r="G19" s="19" t="s">
        <v>219</v>
      </c>
      <c r="H19" s="20">
        <f>SUMIFS('[1]Trade Log'!$M$2:$M$98,'[1]Trade Log'!$C$2:$C$98,B19,'[1]Trade Log'!$E$2:$E$98,C19,'[1]Trade Log'!$M$2:$M$98,"&lt;0")</f>
        <v>-25</v>
      </c>
      <c r="I19" s="20">
        <f>SUMIFS('[1]Trade Log'!$M$2:$M$98,'[1]Trade Log'!$C$2:$C$98,B19,'[1]Trade Log'!$E$2:$E$98,C19,'[1]Trade Log'!$M$2:$M$98,"&gt;0")</f>
        <v>26.720000000000002</v>
      </c>
      <c r="J19" s="20">
        <f t="shared" si="0"/>
        <v>1.7200000000000024</v>
      </c>
    </row>
    <row r="20" spans="2:10">
      <c r="B20" s="17" t="s">
        <v>5</v>
      </c>
      <c r="C20" s="18" t="s">
        <v>80</v>
      </c>
      <c r="D20" s="19" t="s">
        <v>234</v>
      </c>
      <c r="E20" s="19" t="s">
        <v>235</v>
      </c>
      <c r="F20" s="19" t="s">
        <v>200</v>
      </c>
      <c r="G20" s="19" t="s">
        <v>201</v>
      </c>
      <c r="H20" s="20">
        <f>SUMIFS('[1]Trade Log'!$M$2:$M$98,'[1]Trade Log'!$C$2:$C$98,B20,'[1]Trade Log'!$E$2:$E$98,C20,'[1]Trade Log'!$M$2:$M$98,"&lt;0")</f>
        <v>-24.47</v>
      </c>
      <c r="I20" s="20">
        <f>SUMIFS('[1]Trade Log'!$M$2:$M$98,'[1]Trade Log'!$C$2:$C$98,B20,'[1]Trade Log'!$E$2:$E$98,C20,'[1]Trade Log'!$M$2:$M$98,"&gt;0")</f>
        <v>25.87</v>
      </c>
      <c r="J20" s="20">
        <f t="shared" si="0"/>
        <v>1.4000000000000021</v>
      </c>
    </row>
    <row r="21" spans="2:10">
      <c r="B21" s="17" t="s">
        <v>5</v>
      </c>
      <c r="C21" s="18" t="s">
        <v>113</v>
      </c>
      <c r="D21" s="19" t="s">
        <v>236</v>
      </c>
      <c r="E21" s="19" t="s">
        <v>237</v>
      </c>
      <c r="F21" s="19" t="s">
        <v>200</v>
      </c>
      <c r="G21" s="19" t="s">
        <v>205</v>
      </c>
      <c r="H21" s="20">
        <f>SUMIFS('[1]Trade Log'!$M$2:$M$98,'[1]Trade Log'!$C$2:$C$98,B21,'[1]Trade Log'!$E$2:$E$98,C21,'[1]Trade Log'!$M$2:$M$98,"&lt;0")</f>
        <v>-15.99</v>
      </c>
      <c r="I21" s="20">
        <f>SUMIFS('[1]Trade Log'!$M$2:$M$98,'[1]Trade Log'!$C$2:$C$98,B21,'[1]Trade Log'!$E$2:$E$98,C21,'[1]Trade Log'!$M$2:$M$98,"&gt;0")</f>
        <v>16.920000000000002</v>
      </c>
      <c r="J21" s="20">
        <f t="shared" si="0"/>
        <v>0.93000000000000149</v>
      </c>
    </row>
    <row r="22" spans="2:10">
      <c r="B22" s="17" t="s">
        <v>5</v>
      </c>
      <c r="C22" s="18" t="s">
        <v>132</v>
      </c>
      <c r="D22" s="19" t="s">
        <v>238</v>
      </c>
      <c r="E22" s="19" t="s">
        <v>239</v>
      </c>
      <c r="F22" s="19" t="s">
        <v>200</v>
      </c>
      <c r="G22" s="19" t="s">
        <v>201</v>
      </c>
      <c r="H22" s="20">
        <f>SUMIFS('[1]Trade Log'!$M$2:$M$98,'[1]Trade Log'!$C$2:$C$98,B22,'[1]Trade Log'!$E$2:$E$98,C22,'[1]Trade Log'!$M$2:$M$98,"&lt;0")</f>
        <v>-24.97</v>
      </c>
      <c r="I22" s="20">
        <f>SUMIFS('[1]Trade Log'!$M$2:$M$98,'[1]Trade Log'!$C$2:$C$98,B22,'[1]Trade Log'!$E$2:$E$98,C22,'[1]Trade Log'!$M$2:$M$98,"&gt;0")</f>
        <v>25.78</v>
      </c>
      <c r="J22" s="20">
        <f t="shared" si="0"/>
        <v>0.81000000000000227</v>
      </c>
    </row>
    <row r="23" spans="2:10">
      <c r="B23" s="17" t="s">
        <v>5</v>
      </c>
      <c r="C23" s="18" t="s">
        <v>139</v>
      </c>
      <c r="D23" s="19" t="s">
        <v>240</v>
      </c>
      <c r="E23" s="19" t="s">
        <v>241</v>
      </c>
      <c r="F23" s="19" t="s">
        <v>200</v>
      </c>
      <c r="G23" s="19" t="s">
        <v>201</v>
      </c>
      <c r="H23" s="20">
        <f>SUMIFS('[1]Trade Log'!$M$2:$M$98,'[1]Trade Log'!$C$2:$C$98,B23,'[1]Trade Log'!$E$2:$E$98,C23,'[1]Trade Log'!$M$2:$M$98,"&lt;0")</f>
        <v>-23.98</v>
      </c>
      <c r="I23" s="20">
        <f>SUMIFS('[1]Trade Log'!$M$2:$M$98,'[1]Trade Log'!$C$2:$C$98,B23,'[1]Trade Log'!$E$2:$E$98,C23,'[1]Trade Log'!$M$2:$M$98,"&gt;0")</f>
        <v>24.08</v>
      </c>
      <c r="J23" s="20">
        <f t="shared" si="0"/>
        <v>9.9999999999997868E-2</v>
      </c>
    </row>
    <row r="24" spans="2:10">
      <c r="B24" s="17" t="s">
        <v>5</v>
      </c>
      <c r="C24" s="18" t="s">
        <v>183</v>
      </c>
      <c r="D24" s="19" t="s">
        <v>242</v>
      </c>
      <c r="E24" s="19" t="s">
        <v>243</v>
      </c>
      <c r="F24" s="19" t="s">
        <v>200</v>
      </c>
      <c r="G24" s="19" t="s">
        <v>201</v>
      </c>
      <c r="H24" s="20">
        <f>SUMIFS('[1]Trade Log'!$M$2:$M$98,'[1]Trade Log'!$C$2:$C$98,B24,'[1]Trade Log'!$E$2:$E$98,C24,'[1]Trade Log'!$M$2:$M$98,"&lt;0")</f>
        <v>-25.96</v>
      </c>
      <c r="I24" s="20">
        <f>SUMIFS('[1]Trade Log'!$M$2:$M$98,'[1]Trade Log'!$C$2:$C$98,B24,'[1]Trade Log'!$E$2:$E$98,C24,'[1]Trade Log'!$M$2:$M$98,"&gt;0")</f>
        <v>26.03</v>
      </c>
      <c r="J24" s="20">
        <f t="shared" si="0"/>
        <v>7.0000000000000284E-2</v>
      </c>
    </row>
    <row r="25" spans="2:10">
      <c r="B25" s="17" t="s">
        <v>5</v>
      </c>
      <c r="C25" s="18" t="s">
        <v>136</v>
      </c>
      <c r="D25" s="19" t="s">
        <v>244</v>
      </c>
      <c r="E25" s="19" t="s">
        <v>245</v>
      </c>
      <c r="F25" s="19" t="s">
        <v>200</v>
      </c>
      <c r="G25" s="19" t="s">
        <v>205</v>
      </c>
      <c r="H25" s="20">
        <f>SUMIFS('[1]Trade Log'!$M$2:$M$98,'[1]Trade Log'!$C$2:$C$98,B25,'[1]Trade Log'!$E$2:$E$98,C25,'[1]Trade Log'!$M$2:$M$98,"&lt;0")</f>
        <v>-14.94</v>
      </c>
      <c r="I25" s="20">
        <f>SUMIFS('[1]Trade Log'!$M$2:$M$98,'[1]Trade Log'!$C$2:$C$98,B25,'[1]Trade Log'!$E$2:$E$98,C25,'[1]Trade Log'!$M$2:$M$98,"&gt;0")</f>
        <v>14.83</v>
      </c>
      <c r="J25" s="20">
        <f t="shared" si="0"/>
        <v>-0.10999999999999943</v>
      </c>
    </row>
    <row r="26" spans="2:10">
      <c r="B26" s="17" t="s">
        <v>5</v>
      </c>
      <c r="C26" s="18" t="s">
        <v>59</v>
      </c>
      <c r="D26" s="19" t="s">
        <v>208</v>
      </c>
      <c r="E26" s="19" t="s">
        <v>209</v>
      </c>
      <c r="F26" s="19" t="s">
        <v>210</v>
      </c>
      <c r="G26" s="19" t="s">
        <v>205</v>
      </c>
      <c r="H26" s="20">
        <f>SUMIFS('[1]Trade Log'!$M$2:$M$98,'[1]Trade Log'!$C$2:$C$98,B26,'[1]Trade Log'!$E$2:$E$98,C26,'[1]Trade Log'!$M$2:$M$98,"&lt;0")</f>
        <v>-61.64</v>
      </c>
      <c r="I26" s="20">
        <f>SUMIFS('[1]Trade Log'!$M$2:$M$98,'[1]Trade Log'!$C$2:$C$98,B26,'[1]Trade Log'!$E$2:$E$98,C26,'[1]Trade Log'!$M$2:$M$98,"&gt;0")</f>
        <v>60.72</v>
      </c>
      <c r="J26" s="20">
        <f t="shared" si="0"/>
        <v>-0.92000000000000171</v>
      </c>
    </row>
    <row r="27" spans="2:10">
      <c r="B27" s="17" t="s">
        <v>5</v>
      </c>
      <c r="C27" s="18" t="s">
        <v>108</v>
      </c>
      <c r="D27" s="19" t="s">
        <v>246</v>
      </c>
      <c r="E27" s="19" t="s">
        <v>247</v>
      </c>
      <c r="F27" s="19" t="s">
        <v>200</v>
      </c>
      <c r="G27" s="19" t="s">
        <v>201</v>
      </c>
      <c r="H27" s="20">
        <f>SUMIFS('[1]Trade Log'!$M$2:$M$98,'[1]Trade Log'!$C$2:$C$98,B27,'[1]Trade Log'!$E$2:$E$98,C27,'[1]Trade Log'!$M$2:$M$98,"&lt;0")</f>
        <v>-63.97</v>
      </c>
      <c r="I27" s="20">
        <f>SUMIFS('[1]Trade Log'!$M$2:$M$98,'[1]Trade Log'!$C$2:$C$98,B27,'[1]Trade Log'!$E$2:$E$98,C27,'[1]Trade Log'!$M$2:$M$98,"&gt;0")</f>
        <v>62.46</v>
      </c>
      <c r="J27" s="20">
        <f t="shared" si="0"/>
        <v>-1.509999999999998</v>
      </c>
    </row>
    <row r="28" spans="2:10">
      <c r="B28" s="17" t="s">
        <v>5</v>
      </c>
      <c r="C28" s="18" t="s">
        <v>158</v>
      </c>
      <c r="D28" s="19" t="s">
        <v>248</v>
      </c>
      <c r="E28" s="19" t="s">
        <v>249</v>
      </c>
      <c r="F28" s="19" t="s">
        <v>200</v>
      </c>
      <c r="G28" s="19" t="s">
        <v>219</v>
      </c>
      <c r="H28" s="20">
        <f>SUMIFS('[1]Trade Log'!$M$2:$M$98,'[1]Trade Log'!$C$2:$C$98,B28,'[1]Trade Log'!$E$2:$E$98,C28,'[1]Trade Log'!$M$2:$M$98,"&lt;0")</f>
        <v>-49.86</v>
      </c>
      <c r="I28" s="20">
        <f>SUMIFS('[1]Trade Log'!$M$2:$M$98,'[1]Trade Log'!$C$2:$C$98,B28,'[1]Trade Log'!$E$2:$E$98,C28,'[1]Trade Log'!$M$2:$M$98,"&gt;0")</f>
        <v>47.97</v>
      </c>
      <c r="J28" s="20">
        <f t="shared" si="0"/>
        <v>-1.8900000000000006</v>
      </c>
    </row>
    <row r="29" spans="2:10">
      <c r="B29" s="17" t="s">
        <v>5</v>
      </c>
      <c r="C29" s="18" t="s">
        <v>145</v>
      </c>
      <c r="D29" s="19" t="s">
        <v>250</v>
      </c>
      <c r="E29" s="19" t="s">
        <v>251</v>
      </c>
      <c r="F29" s="19" t="s">
        <v>200</v>
      </c>
      <c r="G29" s="19" t="s">
        <v>214</v>
      </c>
      <c r="H29" s="20">
        <f>SUMIFS('[1]Trade Log'!$M$2:$M$98,'[1]Trade Log'!$C$2:$C$98,B29,'[1]Trade Log'!$E$2:$E$98,C29,'[1]Trade Log'!$M$2:$M$98,"&lt;0")</f>
        <v>-15</v>
      </c>
      <c r="I29" s="20">
        <f>SUMIFS('[1]Trade Log'!$M$2:$M$98,'[1]Trade Log'!$C$2:$C$98,B29,'[1]Trade Log'!$E$2:$E$98,C29,'[1]Trade Log'!$M$2:$M$98,"&gt;0")</f>
        <v>12.69</v>
      </c>
      <c r="J29" s="20">
        <f t="shared" si="0"/>
        <v>-2.3100000000000005</v>
      </c>
    </row>
    <row r="30" spans="2:10">
      <c r="B30" s="17" t="s">
        <v>5</v>
      </c>
      <c r="C30" s="18" t="s">
        <v>142</v>
      </c>
      <c r="D30" s="19" t="s">
        <v>252</v>
      </c>
      <c r="E30" s="19" t="s">
        <v>253</v>
      </c>
      <c r="F30" s="19" t="s">
        <v>200</v>
      </c>
      <c r="G30" s="19" t="s">
        <v>214</v>
      </c>
      <c r="H30" s="20">
        <f>SUMIFS('[1]Trade Log'!$M$2:$M$98,'[1]Trade Log'!$C$2:$C$98,B30,'[1]Trade Log'!$E$2:$E$98,C30,'[1]Trade Log'!$M$2:$M$98,"&lt;0")</f>
        <v>-35</v>
      </c>
      <c r="I30" s="20">
        <f>SUMIFS('[1]Trade Log'!$M$2:$M$98,'[1]Trade Log'!$C$2:$C$98,B30,'[1]Trade Log'!$E$2:$E$98,C30,'[1]Trade Log'!$M$2:$M$98,"&gt;0")</f>
        <v>31.72</v>
      </c>
      <c r="J30" s="20">
        <f t="shared" si="0"/>
        <v>-3.2800000000000011</v>
      </c>
    </row>
    <row r="31" spans="2:10">
      <c r="B31" s="17" t="s">
        <v>5</v>
      </c>
      <c r="C31" s="18" t="s">
        <v>74</v>
      </c>
      <c r="D31" s="19" t="s">
        <v>254</v>
      </c>
      <c r="E31" s="19" t="s">
        <v>255</v>
      </c>
      <c r="F31" s="19" t="s">
        <v>200</v>
      </c>
      <c r="G31" s="19" t="s">
        <v>201</v>
      </c>
      <c r="H31" s="20">
        <f>SUMIFS('[1]Trade Log'!$M$2:$M$98,'[1]Trade Log'!$C$2:$C$98,B31,'[1]Trade Log'!$E$2:$E$98,C31,'[1]Trade Log'!$M$2:$M$98,"&lt;0")</f>
        <v>-48.95</v>
      </c>
      <c r="I31" s="20">
        <f>SUMIFS('[1]Trade Log'!$M$2:$M$98,'[1]Trade Log'!$C$2:$C$98,B31,'[1]Trade Log'!$E$2:$E$98,C31,'[1]Trade Log'!$M$2:$M$98,"&gt;0")</f>
        <v>44.76</v>
      </c>
      <c r="J31" s="20">
        <f t="shared" si="0"/>
        <v>-4.1900000000000048</v>
      </c>
    </row>
    <row r="32" spans="2:10">
      <c r="B32" s="17" t="s">
        <v>5</v>
      </c>
      <c r="C32" s="18" t="s">
        <v>173</v>
      </c>
      <c r="D32" s="19" t="s">
        <v>256</v>
      </c>
      <c r="E32" s="19" t="s">
        <v>257</v>
      </c>
      <c r="F32" s="19" t="s">
        <v>200</v>
      </c>
      <c r="G32" s="19" t="s">
        <v>219</v>
      </c>
      <c r="H32" s="20">
        <f>SUMIFS('[1]Trade Log'!$M$2:$M$98,'[1]Trade Log'!$C$2:$C$98,B32,'[1]Trade Log'!$E$2:$E$98,C32,'[1]Trade Log'!$M$2:$M$98,"&lt;0")</f>
        <v>-50</v>
      </c>
      <c r="I32" s="20">
        <f>SUMIFS('[1]Trade Log'!$M$2:$M$98,'[1]Trade Log'!$C$2:$C$98,B32,'[1]Trade Log'!$E$2:$E$98,C32,'[1]Trade Log'!$M$2:$M$98,"&gt;0")</f>
        <v>45.64</v>
      </c>
      <c r="J32" s="20">
        <f t="shared" si="0"/>
        <v>-4.3599999999999994</v>
      </c>
    </row>
    <row r="33" spans="2:10">
      <c r="B33" s="17" t="s">
        <v>5</v>
      </c>
      <c r="C33" s="18" t="s">
        <v>168</v>
      </c>
      <c r="D33" s="19" t="s">
        <v>258</v>
      </c>
      <c r="E33" s="19" t="s">
        <v>259</v>
      </c>
      <c r="F33" s="19" t="s">
        <v>200</v>
      </c>
      <c r="G33" s="19" t="s">
        <v>201</v>
      </c>
      <c r="H33" s="20">
        <f>SUMIFS('[1]Trade Log'!$M$2:$M$98,'[1]Trade Log'!$C$2:$C$98,B33,'[1]Trade Log'!$E$2:$E$98,C33,'[1]Trade Log'!$M$2:$M$98,"&lt;0")</f>
        <v>-74.760000000000005</v>
      </c>
      <c r="I33" s="20">
        <f>SUMIFS('[1]Trade Log'!$M$2:$M$98,'[1]Trade Log'!$C$2:$C$98,B33,'[1]Trade Log'!$E$2:$E$98,C33,'[1]Trade Log'!$M$2:$M$98,"&gt;0")</f>
        <v>68.39</v>
      </c>
      <c r="J33" s="20">
        <f t="shared" si="0"/>
        <v>-6.3700000000000045</v>
      </c>
    </row>
    <row r="34" spans="2:10">
      <c r="B34" s="17" t="s">
        <v>5</v>
      </c>
      <c r="C34" s="18" t="s">
        <v>117</v>
      </c>
      <c r="D34" s="19" t="s">
        <v>260</v>
      </c>
      <c r="E34" s="19" t="s">
        <v>261</v>
      </c>
      <c r="F34" s="19" t="s">
        <v>200</v>
      </c>
      <c r="G34" s="19" t="s">
        <v>205</v>
      </c>
      <c r="H34" s="20">
        <f>SUMIFS('[1]Trade Log'!$M$2:$M$98,'[1]Trade Log'!$C$2:$C$98,B34,'[1]Trade Log'!$E$2:$E$98,C34,'[1]Trade Log'!$M$2:$M$98,"&lt;0")</f>
        <v>-119.63</v>
      </c>
      <c r="I34" s="20">
        <f>SUMIFS('[1]Trade Log'!$M$2:$M$98,'[1]Trade Log'!$C$2:$C$98,B34,'[1]Trade Log'!$E$2:$E$98,C34,'[1]Trade Log'!$M$2:$M$98,"&gt;0")</f>
        <v>110.74</v>
      </c>
      <c r="J34" s="20">
        <f t="shared" si="0"/>
        <v>-8.89</v>
      </c>
    </row>
    <row r="35" spans="2:10">
      <c r="B35" s="17" t="s">
        <v>5</v>
      </c>
      <c r="C35" s="18" t="s">
        <v>68</v>
      </c>
      <c r="D35" s="19" t="s">
        <v>262</v>
      </c>
      <c r="E35" s="19" t="s">
        <v>263</v>
      </c>
      <c r="F35" s="19" t="s">
        <v>200</v>
      </c>
      <c r="G35" s="19" t="s">
        <v>214</v>
      </c>
      <c r="H35" s="20">
        <f>SUMIFS('[1]Trade Log'!$M$2:$M$98,'[1]Trade Log'!$C$2:$C$98,B35,'[1]Trade Log'!$E$2:$E$98,C35,'[1]Trade Log'!$M$2:$M$98,"&lt;0")</f>
        <v>-73.33</v>
      </c>
      <c r="I35" s="20">
        <f>SUMIFS('[1]Trade Log'!$M$2:$M$98,'[1]Trade Log'!$C$2:$C$98,B35,'[1]Trade Log'!$E$2:$E$98,C35,'[1]Trade Log'!$M$2:$M$98,"&gt;0")</f>
        <v>60.1</v>
      </c>
      <c r="J35" s="20">
        <f t="shared" si="0"/>
        <v>-13.229999999999997</v>
      </c>
    </row>
    <row r="36" spans="2:10">
      <c r="B36" s="21" t="s">
        <v>264</v>
      </c>
      <c r="C36" s="22"/>
      <c r="D36" s="22"/>
      <c r="E36" s="22"/>
      <c r="F36" s="22"/>
      <c r="G36" s="22"/>
      <c r="H36" s="23">
        <f>SUM(H9:H35)</f>
        <v>-1465.9</v>
      </c>
      <c r="I36" s="23">
        <f>SUM(I9:I35)</f>
        <v>1682.0600000000002</v>
      </c>
      <c r="J36" s="23">
        <f>SUM(J9:J35)</f>
        <v>216.16000000000005</v>
      </c>
    </row>
    <row r="38" spans="2:10">
      <c r="B38" s="17" t="s">
        <v>6</v>
      </c>
      <c r="C38" s="18" t="s">
        <v>105</v>
      </c>
      <c r="D38" s="19" t="s">
        <v>265</v>
      </c>
      <c r="E38" s="19" t="s">
        <v>266</v>
      </c>
      <c r="F38" s="19" t="s">
        <v>200</v>
      </c>
      <c r="G38" s="19" t="s">
        <v>214</v>
      </c>
      <c r="H38" s="20">
        <f>SUMIFS('[1]Trade Log'!$M$2:$M$98,'[1]Trade Log'!$C$2:$C$98,B38,'[1]Trade Log'!$E$2:$E$98,C38,'[1]Trade Log'!$M$2:$M$98,"&lt;0")</f>
        <v>-42.82</v>
      </c>
      <c r="I38" s="20">
        <f>SUMIFS('[1]Trade Log'!$M$2:$M$98,'[1]Trade Log'!$C$2:$C$98,B38,'[1]Trade Log'!$E$2:$E$98,C38,'[1]Trade Log'!$M$2:$M$98,"&gt;0")</f>
        <v>49.22</v>
      </c>
      <c r="J38" s="20">
        <f t="shared" ref="J38:J43" si="1">I38+H38</f>
        <v>6.3999999999999986</v>
      </c>
    </row>
    <row r="39" spans="2:10">
      <c r="B39" s="17" t="s">
        <v>6</v>
      </c>
      <c r="C39" s="18" t="s">
        <v>83</v>
      </c>
      <c r="D39" s="19" t="s">
        <v>267</v>
      </c>
      <c r="E39" s="19" t="s">
        <v>268</v>
      </c>
      <c r="F39" s="19" t="s">
        <v>204</v>
      </c>
      <c r="G39" s="19" t="s">
        <v>269</v>
      </c>
      <c r="H39" s="20">
        <f>SUMIFS('[1]Trade Log'!$M$2:$M$98,'[1]Trade Log'!$C$2:$C$98,B39,'[1]Trade Log'!$E$2:$E$98,C39,'[1]Trade Log'!$M$2:$M$98,"&lt;0")</f>
        <v>-129.93</v>
      </c>
      <c r="I39" s="20">
        <f>SUMIFS('[1]Trade Log'!$M$2:$M$98,'[1]Trade Log'!$C$2:$C$98,B39,'[1]Trade Log'!$E$2:$E$98,C39,'[1]Trade Log'!$M$2:$M$98,"&gt;0")</f>
        <v>129.66</v>
      </c>
      <c r="J39" s="20">
        <f t="shared" si="1"/>
        <v>-0.27000000000001023</v>
      </c>
    </row>
    <row r="40" spans="2:10">
      <c r="B40" s="17" t="s">
        <v>6</v>
      </c>
      <c r="C40" s="18" t="s">
        <v>71</v>
      </c>
      <c r="D40" s="19" t="s">
        <v>270</v>
      </c>
      <c r="E40" s="19" t="s">
        <v>271</v>
      </c>
      <c r="F40" s="19" t="s">
        <v>204</v>
      </c>
      <c r="G40" s="19" t="s">
        <v>205</v>
      </c>
      <c r="H40" s="20">
        <f>SUMIFS('[1]Trade Log'!$M$2:$M$98,'[1]Trade Log'!$C$2:$C$98,B40,'[1]Trade Log'!$E$2:$E$98,C40,'[1]Trade Log'!$M$2:$M$98,"&lt;0")</f>
        <v>-134.51999999999998</v>
      </c>
      <c r="I40" s="20">
        <f>SUMIFS('[1]Trade Log'!$M$2:$M$98,'[1]Trade Log'!$C$2:$C$98,B40,'[1]Trade Log'!$E$2:$E$98,C40,'[1]Trade Log'!$M$2:$M$98,"&gt;0")</f>
        <v>131.04</v>
      </c>
      <c r="J40" s="20">
        <f t="shared" si="1"/>
        <v>-3.4799999999999898</v>
      </c>
    </row>
    <row r="41" spans="2:10">
      <c r="B41" s="17" t="s">
        <v>6</v>
      </c>
      <c r="C41" s="18" t="s">
        <v>101</v>
      </c>
      <c r="D41" s="19" t="s">
        <v>272</v>
      </c>
      <c r="E41" s="19" t="s">
        <v>203</v>
      </c>
      <c r="F41" s="19" t="s">
        <v>204</v>
      </c>
      <c r="G41" s="19" t="s">
        <v>205</v>
      </c>
      <c r="H41" s="20">
        <f>SUMIFS('[1]Trade Log'!$M$2:$M$98,'[1]Trade Log'!$C$2:$C$98,B41,'[1]Trade Log'!$E$2:$E$98,C41,'[1]Trade Log'!$M$2:$M$98,"&lt;0")</f>
        <v>-149.47999999999999</v>
      </c>
      <c r="I41" s="20">
        <f>SUMIFS('[1]Trade Log'!$M$2:$M$98,'[1]Trade Log'!$C$2:$C$98,B41,'[1]Trade Log'!$E$2:$E$98,C41,'[1]Trade Log'!$M$2:$M$98,"&gt;0")</f>
        <v>145.12</v>
      </c>
      <c r="J41" s="20">
        <f t="shared" si="1"/>
        <v>-4.3599999999999852</v>
      </c>
    </row>
    <row r="42" spans="2:10">
      <c r="B42" s="17" t="s">
        <v>6</v>
      </c>
      <c r="C42" s="18" t="s">
        <v>59</v>
      </c>
      <c r="D42" s="19" t="s">
        <v>208</v>
      </c>
      <c r="E42" s="19" t="s">
        <v>209</v>
      </c>
      <c r="F42" s="19" t="s">
        <v>210</v>
      </c>
      <c r="G42" s="19" t="s">
        <v>205</v>
      </c>
      <c r="H42" s="20">
        <f>SUMIFS('[1]Trade Log'!$M$2:$M$98,'[1]Trade Log'!$C$2:$C$98,B42,'[1]Trade Log'!$E$2:$E$98,C42,'[1]Trade Log'!$M$2:$M$98,"&lt;0")</f>
        <v>-99.8</v>
      </c>
      <c r="I42" s="20">
        <f>SUMIFS('[1]Trade Log'!$M$2:$M$98,'[1]Trade Log'!$C$2:$C$98,B42,'[1]Trade Log'!$E$2:$E$98,C42,'[1]Trade Log'!$M$2:$M$98,"&gt;0")</f>
        <v>88.94</v>
      </c>
      <c r="J42" s="20">
        <f t="shared" si="1"/>
        <v>-10.86</v>
      </c>
    </row>
    <row r="43" spans="2:10">
      <c r="B43" s="17" t="s">
        <v>6</v>
      </c>
      <c r="C43" s="18" t="s">
        <v>92</v>
      </c>
      <c r="D43" s="19" t="s">
        <v>273</v>
      </c>
      <c r="E43" s="19" t="s">
        <v>274</v>
      </c>
      <c r="F43" s="19" t="s">
        <v>210</v>
      </c>
      <c r="G43" s="19" t="s">
        <v>201</v>
      </c>
      <c r="H43" s="20">
        <f>SUMIFS('[1]Trade Log'!$M$2:$M$98,'[1]Trade Log'!$C$2:$C$98,B43,'[1]Trade Log'!$E$2:$E$98,C43,'[1]Trade Log'!$M$2:$M$98,"&lt;0")</f>
        <v>-207.81</v>
      </c>
      <c r="I43" s="20">
        <f>SUMIFS('[1]Trade Log'!$M$2:$M$98,'[1]Trade Log'!$C$2:$C$98,B43,'[1]Trade Log'!$E$2:$E$98,C43,'[1]Trade Log'!$M$2:$M$98,"&gt;0")</f>
        <v>146</v>
      </c>
      <c r="J43" s="20">
        <f t="shared" si="1"/>
        <v>-61.81</v>
      </c>
    </row>
    <row r="44" spans="2:10">
      <c r="B44" s="21" t="s">
        <v>275</v>
      </c>
      <c r="C44" s="22"/>
      <c r="D44" s="22"/>
      <c r="E44" s="22"/>
      <c r="F44" s="22"/>
      <c r="G44" s="22"/>
      <c r="H44" s="23">
        <f>SUM(H38:H43)</f>
        <v>-764.3599999999999</v>
      </c>
      <c r="I44" s="23">
        <f>SUM(I38:I43)</f>
        <v>689.98</v>
      </c>
      <c r="J44" s="23">
        <f>SUM(J38:J43)</f>
        <v>-74.38</v>
      </c>
    </row>
    <row r="46" spans="2:10">
      <c r="B46" s="24" t="s">
        <v>276</v>
      </c>
      <c r="C46" s="25"/>
      <c r="D46" s="25"/>
      <c r="E46" s="25"/>
      <c r="F46" s="25"/>
      <c r="G46" s="25"/>
      <c r="H46" s="26">
        <f>H7+H36+H44</f>
        <v>-2879.37</v>
      </c>
      <c r="I46" s="26">
        <f>I7+I36+I44</f>
        <v>3061.4700000000003</v>
      </c>
      <c r="J46" s="26">
        <f>J7+J36+J44</f>
        <v>182.10000000000002</v>
      </c>
    </row>
  </sheetData>
  <conditionalFormatting sqref="J3:J46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DFF7D-8871-4477-9105-1BA99BD74BE8}">
  <dimension ref="B2:E5"/>
  <sheetViews>
    <sheetView workbookViewId="0">
      <selection activeCell="G13" sqref="G13"/>
    </sheetView>
  </sheetViews>
  <sheetFormatPr defaultRowHeight="14.25"/>
  <cols>
    <col min="2" max="2" width="14.86328125" customWidth="1"/>
    <col min="3" max="5" width="9.3984375" bestFit="1" customWidth="1"/>
  </cols>
  <sheetData>
    <row r="2" spans="2:5" ht="15">
      <c r="B2" s="1" t="s">
        <v>0</v>
      </c>
      <c r="C2" s="2" t="s">
        <v>1</v>
      </c>
      <c r="D2" s="1" t="s">
        <v>2</v>
      </c>
      <c r="E2" s="1" t="s">
        <v>3</v>
      </c>
    </row>
    <row r="3" spans="2:5" ht="30">
      <c r="B3" s="3" t="s">
        <v>4</v>
      </c>
      <c r="C3" s="4">
        <v>500</v>
      </c>
      <c r="D3" s="5">
        <v>473.33</v>
      </c>
      <c r="E3" s="6">
        <v>541.88</v>
      </c>
    </row>
    <row r="4" spans="2:5" ht="30">
      <c r="B4" s="3" t="s">
        <v>5</v>
      </c>
      <c r="C4" s="7">
        <v>500</v>
      </c>
      <c r="D4" s="8">
        <v>486.25</v>
      </c>
      <c r="E4" s="8">
        <v>714.78</v>
      </c>
    </row>
    <row r="5" spans="2:5" ht="15">
      <c r="B5" s="3" t="s">
        <v>6</v>
      </c>
      <c r="C5" s="9">
        <v>500</v>
      </c>
      <c r="D5" s="10">
        <v>418.48</v>
      </c>
      <c r="E5" s="10">
        <v>427.37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5B838-EAAE-4CE9-9092-C85D2AA6E11E}">
  <dimension ref="B2:O108"/>
  <sheetViews>
    <sheetView workbookViewId="0">
      <selection activeCell="G7" sqref="G7"/>
    </sheetView>
  </sheetViews>
  <sheetFormatPr defaultRowHeight="14.25"/>
  <cols>
    <col min="2" max="2" width="8.796875" bestFit="1" customWidth="1"/>
    <col min="3" max="3" width="8.46484375" bestFit="1" customWidth="1"/>
    <col min="4" max="4" width="10.796875" bestFit="1" customWidth="1"/>
    <col min="5" max="5" width="132.46484375" bestFit="1" customWidth="1"/>
    <col min="6" max="6" width="10.1328125" bestFit="1" customWidth="1"/>
    <col min="7" max="7" width="45.46484375" bestFit="1" customWidth="1"/>
    <col min="8" max="8" width="5.53125" bestFit="1" customWidth="1"/>
    <col min="9" max="9" width="8.796875" bestFit="1" customWidth="1"/>
    <col min="10" max="10" width="8.73046875" bestFit="1" customWidth="1"/>
    <col min="11" max="11" width="8.3984375" bestFit="1" customWidth="1"/>
    <col min="12" max="12" width="8.46484375" bestFit="1" customWidth="1"/>
    <col min="13" max="13" width="11.1328125" bestFit="1" customWidth="1"/>
    <col min="14" max="14" width="8.46484375" bestFit="1" customWidth="1"/>
    <col min="15" max="15" width="8.86328125" bestFit="1" customWidth="1"/>
  </cols>
  <sheetData>
    <row r="2" spans="2:15" ht="42">
      <c r="B2" s="11" t="s">
        <v>39</v>
      </c>
      <c r="C2" s="11" t="s">
        <v>40</v>
      </c>
      <c r="D2" s="11" t="s">
        <v>41</v>
      </c>
      <c r="E2" s="11" t="s">
        <v>42</v>
      </c>
      <c r="F2" s="11" t="s">
        <v>43</v>
      </c>
      <c r="G2" s="11" t="s">
        <v>44</v>
      </c>
      <c r="H2" s="11" t="s">
        <v>45</v>
      </c>
      <c r="I2" s="11" t="s">
        <v>46</v>
      </c>
      <c r="J2" s="11" t="s">
        <v>47</v>
      </c>
      <c r="K2" s="11" t="s">
        <v>48</v>
      </c>
      <c r="L2" s="11" t="s">
        <v>49</v>
      </c>
      <c r="M2" s="11" t="s">
        <v>50</v>
      </c>
      <c r="N2" s="11" t="s">
        <v>51</v>
      </c>
      <c r="O2" s="11" t="s">
        <v>52</v>
      </c>
    </row>
    <row r="3" spans="2:15">
      <c r="B3" s="27" t="s">
        <v>277</v>
      </c>
      <c r="C3" s="27" t="s">
        <v>53</v>
      </c>
      <c r="D3" s="27" t="s">
        <v>5</v>
      </c>
      <c r="E3" s="27" t="s">
        <v>55</v>
      </c>
      <c r="F3" s="27" t="s">
        <v>56</v>
      </c>
      <c r="G3" s="27" t="s">
        <v>57</v>
      </c>
      <c r="H3" s="27" t="s">
        <v>54</v>
      </c>
      <c r="I3" s="28">
        <v>1549</v>
      </c>
      <c r="J3" s="27">
        <v>-6.3E-2</v>
      </c>
      <c r="K3" s="27"/>
      <c r="L3" s="27"/>
      <c r="M3" s="27"/>
      <c r="N3" s="28">
        <v>97.59</v>
      </c>
      <c r="O3" s="27" t="s">
        <v>278</v>
      </c>
    </row>
    <row r="4" spans="2:15">
      <c r="B4" s="27" t="s">
        <v>277</v>
      </c>
      <c r="C4" s="27" t="s">
        <v>53</v>
      </c>
      <c r="D4" s="27" t="s">
        <v>5</v>
      </c>
      <c r="E4" s="27" t="s">
        <v>58</v>
      </c>
      <c r="F4" s="27" t="s">
        <v>59</v>
      </c>
      <c r="G4" s="27" t="s">
        <v>60</v>
      </c>
      <c r="H4" s="27" t="s">
        <v>54</v>
      </c>
      <c r="I4" s="28">
        <v>434.53</v>
      </c>
      <c r="J4" s="27">
        <v>-4.5999999999999999E-2</v>
      </c>
      <c r="K4" s="27"/>
      <c r="L4" s="27"/>
      <c r="M4" s="27"/>
      <c r="N4" s="28">
        <v>19.989999999999998</v>
      </c>
      <c r="O4" s="27" t="s">
        <v>278</v>
      </c>
    </row>
    <row r="5" spans="2:15">
      <c r="B5" s="27" t="s">
        <v>277</v>
      </c>
      <c r="C5" s="27" t="s">
        <v>53</v>
      </c>
      <c r="D5" s="27" t="s">
        <v>5</v>
      </c>
      <c r="E5" s="27" t="s">
        <v>61</v>
      </c>
      <c r="F5" s="27" t="s">
        <v>62</v>
      </c>
      <c r="G5" s="27" t="s">
        <v>63</v>
      </c>
      <c r="H5" s="27" t="s">
        <v>54</v>
      </c>
      <c r="I5" s="28">
        <v>117.83</v>
      </c>
      <c r="J5" s="27">
        <v>-0.66500000000000004</v>
      </c>
      <c r="K5" s="27"/>
      <c r="L5" s="27"/>
      <c r="M5" s="27"/>
      <c r="N5" s="28">
        <v>78.36</v>
      </c>
      <c r="O5" s="27" t="s">
        <v>278</v>
      </c>
    </row>
    <row r="6" spans="2:15">
      <c r="B6" s="27" t="s">
        <v>277</v>
      </c>
      <c r="C6" s="27" t="s">
        <v>53</v>
      </c>
      <c r="D6" s="27" t="s">
        <v>5</v>
      </c>
      <c r="E6" s="27" t="s">
        <v>64</v>
      </c>
      <c r="F6" s="27" t="s">
        <v>65</v>
      </c>
      <c r="G6" s="27" t="s">
        <v>66</v>
      </c>
      <c r="H6" s="27" t="s">
        <v>54</v>
      </c>
      <c r="I6" s="28">
        <v>792.27</v>
      </c>
      <c r="J6" s="27">
        <v>-0.27800000000000002</v>
      </c>
      <c r="K6" s="27"/>
      <c r="L6" s="27"/>
      <c r="M6" s="27"/>
      <c r="N6" s="28">
        <v>220.25</v>
      </c>
      <c r="O6" s="27" t="s">
        <v>278</v>
      </c>
    </row>
    <row r="7" spans="2:15">
      <c r="B7" s="27" t="s">
        <v>277</v>
      </c>
      <c r="C7" s="27" t="s">
        <v>53</v>
      </c>
      <c r="D7" s="27" t="s">
        <v>5</v>
      </c>
      <c r="E7" s="27" t="s">
        <v>67</v>
      </c>
      <c r="F7" s="27" t="s">
        <v>68</v>
      </c>
      <c r="G7" s="27" t="s">
        <v>69</v>
      </c>
      <c r="H7" s="27" t="s">
        <v>54</v>
      </c>
      <c r="I7" s="28">
        <v>56.17</v>
      </c>
      <c r="J7" s="27">
        <v>-7.0000000000000007E-2</v>
      </c>
      <c r="K7" s="27"/>
      <c r="L7" s="27"/>
      <c r="M7" s="27"/>
      <c r="N7" s="28">
        <v>3.93</v>
      </c>
      <c r="O7" s="27" t="s">
        <v>278</v>
      </c>
    </row>
    <row r="8" spans="2:15">
      <c r="B8" s="27" t="s">
        <v>277</v>
      </c>
      <c r="C8" s="27" t="s">
        <v>53</v>
      </c>
      <c r="D8" s="27" t="s">
        <v>5</v>
      </c>
      <c r="E8" s="27" t="s">
        <v>67</v>
      </c>
      <c r="F8" s="27" t="s">
        <v>68</v>
      </c>
      <c r="G8" s="27" t="s">
        <v>69</v>
      </c>
      <c r="H8" s="27" t="s">
        <v>54</v>
      </c>
      <c r="I8" s="28">
        <v>56.17</v>
      </c>
      <c r="J8" s="27">
        <v>-1</v>
      </c>
      <c r="K8" s="27"/>
      <c r="L8" s="27"/>
      <c r="M8" s="27"/>
      <c r="N8" s="28">
        <v>56.17</v>
      </c>
      <c r="O8" s="27" t="s">
        <v>278</v>
      </c>
    </row>
    <row r="9" spans="2:15">
      <c r="B9" s="27" t="s">
        <v>277</v>
      </c>
      <c r="C9" s="27" t="s">
        <v>53</v>
      </c>
      <c r="D9" s="27" t="s">
        <v>6</v>
      </c>
      <c r="E9" s="27" t="s">
        <v>70</v>
      </c>
      <c r="F9" s="27" t="s">
        <v>71</v>
      </c>
      <c r="G9" s="27" t="s">
        <v>72</v>
      </c>
      <c r="H9" s="27" t="s">
        <v>54</v>
      </c>
      <c r="I9" s="28">
        <v>45.08</v>
      </c>
      <c r="J9" s="27">
        <v>-0.90700000000000003</v>
      </c>
      <c r="K9" s="27"/>
      <c r="L9" s="27"/>
      <c r="M9" s="27"/>
      <c r="N9" s="28">
        <v>40.880000000000003</v>
      </c>
      <c r="O9" s="27" t="s">
        <v>278</v>
      </c>
    </row>
    <row r="10" spans="2:15">
      <c r="B10" s="27" t="s">
        <v>277</v>
      </c>
      <c r="C10" s="27" t="s">
        <v>53</v>
      </c>
      <c r="D10" s="27" t="s">
        <v>5</v>
      </c>
      <c r="E10" s="27" t="s">
        <v>73</v>
      </c>
      <c r="F10" s="27" t="s">
        <v>74</v>
      </c>
      <c r="G10" s="27" t="s">
        <v>75</v>
      </c>
      <c r="H10" s="27" t="s">
        <v>54</v>
      </c>
      <c r="I10" s="28">
        <v>147.71</v>
      </c>
      <c r="J10" s="27">
        <v>-0.30299999999999999</v>
      </c>
      <c r="K10" s="27"/>
      <c r="L10" s="27"/>
      <c r="M10" s="27"/>
      <c r="N10" s="28">
        <v>44.76</v>
      </c>
      <c r="O10" s="27" t="s">
        <v>278</v>
      </c>
    </row>
    <row r="11" spans="2:15">
      <c r="B11" s="27" t="s">
        <v>277</v>
      </c>
      <c r="C11" s="27" t="s">
        <v>53</v>
      </c>
      <c r="D11" s="27" t="s">
        <v>6</v>
      </c>
      <c r="E11" s="27" t="s">
        <v>70</v>
      </c>
      <c r="F11" s="27" t="s">
        <v>71</v>
      </c>
      <c r="G11" s="27" t="s">
        <v>72</v>
      </c>
      <c r="H11" s="27" t="s">
        <v>54</v>
      </c>
      <c r="I11" s="28">
        <v>45.08</v>
      </c>
      <c r="J11" s="27">
        <v>-2</v>
      </c>
      <c r="K11" s="27"/>
      <c r="L11" s="27"/>
      <c r="M11" s="27"/>
      <c r="N11" s="28">
        <v>90.16</v>
      </c>
      <c r="O11" s="27" t="s">
        <v>278</v>
      </c>
    </row>
    <row r="12" spans="2:15">
      <c r="B12" s="27" t="s">
        <v>277</v>
      </c>
      <c r="C12" s="27" t="s">
        <v>53</v>
      </c>
      <c r="D12" s="27" t="s">
        <v>4</v>
      </c>
      <c r="E12" s="27" t="s">
        <v>76</v>
      </c>
      <c r="F12" s="27" t="s">
        <v>77</v>
      </c>
      <c r="G12" s="27" t="s">
        <v>78</v>
      </c>
      <c r="H12" s="27" t="s">
        <v>54</v>
      </c>
      <c r="I12" s="28">
        <v>679.13</v>
      </c>
      <c r="J12" s="27">
        <v>-0.39300000000000002</v>
      </c>
      <c r="K12" s="27"/>
      <c r="L12" s="27"/>
      <c r="M12" s="27"/>
      <c r="N12" s="28">
        <v>266.89999999999998</v>
      </c>
      <c r="O12" s="27" t="s">
        <v>278</v>
      </c>
    </row>
    <row r="13" spans="2:15">
      <c r="B13" s="27" t="s">
        <v>277</v>
      </c>
      <c r="C13" s="27" t="s">
        <v>53</v>
      </c>
      <c r="D13" s="27" t="s">
        <v>5</v>
      </c>
      <c r="E13" s="27" t="s">
        <v>79</v>
      </c>
      <c r="F13" s="27" t="s">
        <v>80</v>
      </c>
      <c r="G13" s="27" t="s">
        <v>81</v>
      </c>
      <c r="H13" s="27" t="s">
        <v>54</v>
      </c>
      <c r="I13" s="28">
        <v>71.680000000000007</v>
      </c>
      <c r="J13" s="27">
        <v>-0.36099999999999999</v>
      </c>
      <c r="K13" s="27"/>
      <c r="L13" s="27"/>
      <c r="M13" s="27"/>
      <c r="N13" s="28">
        <v>25.87</v>
      </c>
      <c r="O13" s="27" t="s">
        <v>278</v>
      </c>
    </row>
    <row r="14" spans="2:15">
      <c r="B14" s="27" t="s">
        <v>277</v>
      </c>
      <c r="C14" s="27" t="s">
        <v>53</v>
      </c>
      <c r="D14" s="27" t="s">
        <v>6</v>
      </c>
      <c r="E14" s="27" t="s">
        <v>58</v>
      </c>
      <c r="F14" s="27" t="s">
        <v>59</v>
      </c>
      <c r="G14" s="27" t="s">
        <v>60</v>
      </c>
      <c r="H14" s="27" t="s">
        <v>54</v>
      </c>
      <c r="I14" s="28">
        <v>433.88</v>
      </c>
      <c r="J14" s="27">
        <v>-0.20499999999999999</v>
      </c>
      <c r="K14" s="27"/>
      <c r="L14" s="27"/>
      <c r="M14" s="27"/>
      <c r="N14" s="28">
        <v>88.94</v>
      </c>
      <c r="O14" s="27" t="s">
        <v>278</v>
      </c>
    </row>
    <row r="15" spans="2:15">
      <c r="B15" s="27" t="s">
        <v>277</v>
      </c>
      <c r="C15" s="27" t="s">
        <v>53</v>
      </c>
      <c r="D15" s="27" t="s">
        <v>4</v>
      </c>
      <c r="E15" s="27" t="s">
        <v>58</v>
      </c>
      <c r="F15" s="27" t="s">
        <v>59</v>
      </c>
      <c r="G15" s="27" t="s">
        <v>60</v>
      </c>
      <c r="H15" s="27" t="s">
        <v>54</v>
      </c>
      <c r="I15" s="28">
        <v>434.15</v>
      </c>
      <c r="J15" s="27">
        <v>-0.17299999999999999</v>
      </c>
      <c r="K15" s="27"/>
      <c r="L15" s="27"/>
      <c r="M15" s="27"/>
      <c r="N15" s="28">
        <v>75.11</v>
      </c>
      <c r="O15" s="27" t="s">
        <v>278</v>
      </c>
    </row>
    <row r="16" spans="2:15">
      <c r="B16" s="27" t="s">
        <v>277</v>
      </c>
      <c r="C16" s="27" t="s">
        <v>53</v>
      </c>
      <c r="D16" s="27" t="s">
        <v>6</v>
      </c>
      <c r="E16" s="27" t="s">
        <v>82</v>
      </c>
      <c r="F16" s="27" t="s">
        <v>83</v>
      </c>
      <c r="G16" s="27" t="s">
        <v>84</v>
      </c>
      <c r="H16" s="27" t="s">
        <v>54</v>
      </c>
      <c r="I16" s="28">
        <v>82.28</v>
      </c>
      <c r="J16" s="27">
        <v>-0.57599999999999996</v>
      </c>
      <c r="K16" s="27"/>
      <c r="L16" s="27"/>
      <c r="M16" s="27"/>
      <c r="N16" s="28">
        <v>47.39</v>
      </c>
      <c r="O16" s="27" t="s">
        <v>278</v>
      </c>
    </row>
    <row r="17" spans="2:15">
      <c r="B17" s="27" t="s">
        <v>277</v>
      </c>
      <c r="C17" s="27" t="s">
        <v>53</v>
      </c>
      <c r="D17" s="27" t="s">
        <v>4</v>
      </c>
      <c r="E17" s="27" t="s">
        <v>85</v>
      </c>
      <c r="F17" s="27" t="s">
        <v>86</v>
      </c>
      <c r="G17" s="27" t="s">
        <v>87</v>
      </c>
      <c r="H17" s="27" t="s">
        <v>54</v>
      </c>
      <c r="I17" s="28">
        <v>257.73</v>
      </c>
      <c r="J17" s="27">
        <v>-0.40699999999999997</v>
      </c>
      <c r="K17" s="27"/>
      <c r="L17" s="27"/>
      <c r="M17" s="27"/>
      <c r="N17" s="28">
        <v>104.9</v>
      </c>
      <c r="O17" s="27" t="s">
        <v>278</v>
      </c>
    </row>
    <row r="18" spans="2:15">
      <c r="B18" s="27" t="s">
        <v>277</v>
      </c>
      <c r="C18" s="27" t="s">
        <v>53</v>
      </c>
      <c r="D18" s="27" t="s">
        <v>6</v>
      </c>
      <c r="E18" s="27" t="s">
        <v>82</v>
      </c>
      <c r="F18" s="27" t="s">
        <v>83</v>
      </c>
      <c r="G18" s="27" t="s">
        <v>84</v>
      </c>
      <c r="H18" s="27" t="s">
        <v>54</v>
      </c>
      <c r="I18" s="28">
        <v>82.27</v>
      </c>
      <c r="J18" s="27">
        <v>-1</v>
      </c>
      <c r="K18" s="27"/>
      <c r="L18" s="27"/>
      <c r="M18" s="27"/>
      <c r="N18" s="28">
        <v>82.27</v>
      </c>
      <c r="O18" s="27" t="s">
        <v>278</v>
      </c>
    </row>
    <row r="19" spans="2:15">
      <c r="B19" s="27" t="s">
        <v>277</v>
      </c>
      <c r="C19" s="27" t="s">
        <v>53</v>
      </c>
      <c r="D19" s="27" t="s">
        <v>4</v>
      </c>
      <c r="E19" s="27" t="s">
        <v>88</v>
      </c>
      <c r="F19" s="27" t="s">
        <v>89</v>
      </c>
      <c r="G19" s="27" t="s">
        <v>90</v>
      </c>
      <c r="H19" s="27" t="s">
        <v>54</v>
      </c>
      <c r="I19" s="28">
        <v>393.7</v>
      </c>
      <c r="J19" s="27">
        <v>-0.23499999999999999</v>
      </c>
      <c r="K19" s="27"/>
      <c r="L19" s="27"/>
      <c r="M19" s="27"/>
      <c r="N19" s="28">
        <v>92.52</v>
      </c>
      <c r="O19" s="27" t="s">
        <v>278</v>
      </c>
    </row>
    <row r="20" spans="2:15">
      <c r="B20" s="27" t="s">
        <v>277</v>
      </c>
      <c r="C20" s="27" t="s">
        <v>53</v>
      </c>
      <c r="D20" s="27" t="s">
        <v>5</v>
      </c>
      <c r="E20" s="27" t="s">
        <v>88</v>
      </c>
      <c r="F20" s="27" t="s">
        <v>89</v>
      </c>
      <c r="G20" s="27" t="s">
        <v>90</v>
      </c>
      <c r="H20" s="27" t="s">
        <v>54</v>
      </c>
      <c r="I20" s="28">
        <v>393.97</v>
      </c>
      <c r="J20" s="27">
        <v>-0.29499999999999998</v>
      </c>
      <c r="K20" s="27"/>
      <c r="L20" s="27"/>
      <c r="M20" s="27"/>
      <c r="N20" s="28">
        <v>116.22</v>
      </c>
      <c r="O20" s="27" t="s">
        <v>278</v>
      </c>
    </row>
    <row r="21" spans="2:15">
      <c r="B21" s="27" t="s">
        <v>277</v>
      </c>
      <c r="C21" s="27" t="s">
        <v>53</v>
      </c>
      <c r="D21" s="27" t="s">
        <v>6</v>
      </c>
      <c r="E21" s="27" t="s">
        <v>91</v>
      </c>
      <c r="F21" s="27" t="s">
        <v>92</v>
      </c>
      <c r="G21" s="27" t="s">
        <v>93</v>
      </c>
      <c r="H21" s="27" t="s">
        <v>54</v>
      </c>
      <c r="I21" s="28">
        <v>76.83</v>
      </c>
      <c r="J21" s="27">
        <v>-1</v>
      </c>
      <c r="K21" s="27"/>
      <c r="L21" s="27"/>
      <c r="M21" s="27"/>
      <c r="N21" s="28">
        <v>76.83</v>
      </c>
      <c r="O21" s="27" t="s">
        <v>278</v>
      </c>
    </row>
    <row r="22" spans="2:15">
      <c r="B22" s="27" t="s">
        <v>279</v>
      </c>
      <c r="C22" s="27" t="s">
        <v>53</v>
      </c>
      <c r="D22" s="27" t="s">
        <v>5</v>
      </c>
      <c r="E22" s="27" t="s">
        <v>94</v>
      </c>
      <c r="F22" s="27" t="s">
        <v>95</v>
      </c>
      <c r="G22" s="27" t="s">
        <v>96</v>
      </c>
      <c r="H22" s="27" t="s">
        <v>54</v>
      </c>
      <c r="I22" s="28">
        <v>6.46</v>
      </c>
      <c r="J22" s="27">
        <v>-0.46100000000000002</v>
      </c>
      <c r="K22" s="27"/>
      <c r="L22" s="27"/>
      <c r="M22" s="27"/>
      <c r="N22" s="28">
        <v>2.98</v>
      </c>
      <c r="O22" s="27" t="s">
        <v>277</v>
      </c>
    </row>
    <row r="23" spans="2:15">
      <c r="B23" s="27" t="s">
        <v>279</v>
      </c>
      <c r="C23" s="27" t="s">
        <v>53</v>
      </c>
      <c r="D23" s="27" t="s">
        <v>5</v>
      </c>
      <c r="E23" s="27" t="s">
        <v>94</v>
      </c>
      <c r="F23" s="27" t="s">
        <v>95</v>
      </c>
      <c r="G23" s="27" t="s">
        <v>96</v>
      </c>
      <c r="H23" s="27" t="s">
        <v>54</v>
      </c>
      <c r="I23" s="28">
        <v>6.46</v>
      </c>
      <c r="J23" s="27">
        <v>-8</v>
      </c>
      <c r="K23" s="27"/>
      <c r="L23" s="27"/>
      <c r="M23" s="27"/>
      <c r="N23" s="28">
        <v>51.68</v>
      </c>
      <c r="O23" s="27" t="s">
        <v>277</v>
      </c>
    </row>
    <row r="24" spans="2:15">
      <c r="B24" s="27" t="s">
        <v>280</v>
      </c>
      <c r="C24" s="27" t="s">
        <v>53</v>
      </c>
      <c r="D24" s="27" t="s">
        <v>4</v>
      </c>
      <c r="E24" s="27" t="s">
        <v>97</v>
      </c>
      <c r="F24" s="27" t="s">
        <v>59</v>
      </c>
      <c r="G24" s="27" t="s">
        <v>60</v>
      </c>
      <c r="H24" s="27" t="s">
        <v>54</v>
      </c>
      <c r="I24" s="28">
        <v>433</v>
      </c>
      <c r="J24" s="27">
        <v>0.17299999999999999</v>
      </c>
      <c r="K24" s="27"/>
      <c r="L24" s="27"/>
      <c r="M24" s="27"/>
      <c r="N24" s="28">
        <v>-74.91</v>
      </c>
      <c r="O24" s="27" t="s">
        <v>281</v>
      </c>
    </row>
    <row r="25" spans="2:15">
      <c r="B25" s="27" t="s">
        <v>280</v>
      </c>
      <c r="C25" s="27" t="s">
        <v>53</v>
      </c>
      <c r="D25" s="27" t="s">
        <v>4</v>
      </c>
      <c r="E25" s="27" t="s">
        <v>98</v>
      </c>
      <c r="F25" s="27" t="s">
        <v>89</v>
      </c>
      <c r="G25" s="27" t="s">
        <v>90</v>
      </c>
      <c r="H25" s="27" t="s">
        <v>54</v>
      </c>
      <c r="I25" s="28">
        <v>317.92</v>
      </c>
      <c r="J25" s="27">
        <v>0.23499999999999999</v>
      </c>
      <c r="K25" s="27"/>
      <c r="L25" s="27"/>
      <c r="M25" s="27"/>
      <c r="N25" s="28">
        <v>-74.709999999999994</v>
      </c>
      <c r="O25" s="27" t="s">
        <v>281</v>
      </c>
    </row>
    <row r="26" spans="2:15">
      <c r="B26" s="27" t="s">
        <v>282</v>
      </c>
      <c r="C26" s="27" t="s">
        <v>53</v>
      </c>
      <c r="D26" s="27" t="s">
        <v>6</v>
      </c>
      <c r="E26" s="27" t="s">
        <v>99</v>
      </c>
      <c r="F26" s="27" t="s">
        <v>71</v>
      </c>
      <c r="G26" s="27" t="s">
        <v>72</v>
      </c>
      <c r="H26" s="27" t="s">
        <v>54</v>
      </c>
      <c r="I26" s="28">
        <v>46.28</v>
      </c>
      <c r="J26" s="27">
        <v>2</v>
      </c>
      <c r="K26" s="27"/>
      <c r="L26" s="27"/>
      <c r="M26" s="27"/>
      <c r="N26" s="28">
        <v>-92.55</v>
      </c>
      <c r="O26" s="27" t="s">
        <v>283</v>
      </c>
    </row>
    <row r="27" spans="2:15">
      <c r="B27" s="27" t="s">
        <v>282</v>
      </c>
      <c r="C27" s="27" t="s">
        <v>53</v>
      </c>
      <c r="D27" s="27" t="s">
        <v>6</v>
      </c>
      <c r="E27" s="27" t="s">
        <v>99</v>
      </c>
      <c r="F27" s="27" t="s">
        <v>71</v>
      </c>
      <c r="G27" s="27" t="s">
        <v>72</v>
      </c>
      <c r="H27" s="27" t="s">
        <v>54</v>
      </c>
      <c r="I27" s="28">
        <v>46.28</v>
      </c>
      <c r="J27" s="27">
        <v>0.90700000000000003</v>
      </c>
      <c r="K27" s="27"/>
      <c r="L27" s="27"/>
      <c r="M27" s="27"/>
      <c r="N27" s="28">
        <v>-41.97</v>
      </c>
      <c r="O27" s="27" t="s">
        <v>283</v>
      </c>
    </row>
    <row r="28" spans="2:15">
      <c r="B28" s="27" t="s">
        <v>282</v>
      </c>
      <c r="C28" s="27" t="s">
        <v>53</v>
      </c>
      <c r="D28" s="27" t="s">
        <v>6</v>
      </c>
      <c r="E28" s="27" t="s">
        <v>100</v>
      </c>
      <c r="F28" s="27" t="s">
        <v>101</v>
      </c>
      <c r="G28" s="27" t="s">
        <v>102</v>
      </c>
      <c r="H28" s="27" t="s">
        <v>54</v>
      </c>
      <c r="I28" s="28">
        <v>675</v>
      </c>
      <c r="J28" s="27">
        <v>-0.215</v>
      </c>
      <c r="K28" s="27"/>
      <c r="L28" s="27"/>
      <c r="M28" s="27"/>
      <c r="N28" s="28">
        <v>145.12</v>
      </c>
      <c r="O28" s="27" t="s">
        <v>283</v>
      </c>
    </row>
    <row r="29" spans="2:15">
      <c r="B29" s="27" t="s">
        <v>282</v>
      </c>
      <c r="C29" s="27" t="s">
        <v>53</v>
      </c>
      <c r="D29" s="27" t="s">
        <v>6</v>
      </c>
      <c r="E29" s="27" t="s">
        <v>103</v>
      </c>
      <c r="F29" s="27" t="s">
        <v>83</v>
      </c>
      <c r="G29" s="27" t="s">
        <v>84</v>
      </c>
      <c r="H29" s="27" t="s">
        <v>54</v>
      </c>
      <c r="I29" s="28">
        <v>82.44</v>
      </c>
      <c r="J29" s="27">
        <v>1</v>
      </c>
      <c r="K29" s="27"/>
      <c r="L29" s="27"/>
      <c r="M29" s="27"/>
      <c r="N29" s="28">
        <v>-82.44</v>
      </c>
      <c r="O29" s="27" t="s">
        <v>283</v>
      </c>
    </row>
    <row r="30" spans="2:15">
      <c r="B30" s="27" t="s">
        <v>282</v>
      </c>
      <c r="C30" s="27" t="s">
        <v>53</v>
      </c>
      <c r="D30" s="27" t="s">
        <v>6</v>
      </c>
      <c r="E30" s="27" t="s">
        <v>103</v>
      </c>
      <c r="F30" s="27" t="s">
        <v>83</v>
      </c>
      <c r="G30" s="27" t="s">
        <v>84</v>
      </c>
      <c r="H30" s="27" t="s">
        <v>54</v>
      </c>
      <c r="I30" s="28">
        <v>82.44</v>
      </c>
      <c r="J30" s="27">
        <v>0.57599999999999996</v>
      </c>
      <c r="K30" s="27"/>
      <c r="L30" s="27"/>
      <c r="M30" s="27"/>
      <c r="N30" s="28">
        <v>-47.49</v>
      </c>
      <c r="O30" s="27" t="s">
        <v>283</v>
      </c>
    </row>
    <row r="31" spans="2:15">
      <c r="B31" s="27" t="s">
        <v>282</v>
      </c>
      <c r="C31" s="27" t="s">
        <v>53</v>
      </c>
      <c r="D31" s="27" t="s">
        <v>6</v>
      </c>
      <c r="E31" s="27" t="s">
        <v>91</v>
      </c>
      <c r="F31" s="27" t="s">
        <v>92</v>
      </c>
      <c r="G31" s="27" t="s">
        <v>93</v>
      </c>
      <c r="H31" s="27" t="s">
        <v>54</v>
      </c>
      <c r="I31" s="28">
        <v>69.17</v>
      </c>
      <c r="J31" s="27">
        <v>-1</v>
      </c>
      <c r="K31" s="27"/>
      <c r="L31" s="27"/>
      <c r="M31" s="27"/>
      <c r="N31" s="28">
        <v>69.17</v>
      </c>
      <c r="O31" s="27" t="s">
        <v>283</v>
      </c>
    </row>
    <row r="32" spans="2:15">
      <c r="B32" s="27" t="s">
        <v>282</v>
      </c>
      <c r="C32" s="27" t="s">
        <v>53</v>
      </c>
      <c r="D32" s="27" t="s">
        <v>4</v>
      </c>
      <c r="E32" s="27" t="s">
        <v>85</v>
      </c>
      <c r="F32" s="27" t="s">
        <v>86</v>
      </c>
      <c r="G32" s="27" t="s">
        <v>87</v>
      </c>
      <c r="H32" s="27" t="s">
        <v>54</v>
      </c>
      <c r="I32" s="28">
        <v>236.31</v>
      </c>
      <c r="J32" s="27">
        <v>-0.63500000000000001</v>
      </c>
      <c r="K32" s="27"/>
      <c r="L32" s="27"/>
      <c r="M32" s="27"/>
      <c r="N32" s="28">
        <v>150</v>
      </c>
      <c r="O32" s="27" t="s">
        <v>283</v>
      </c>
    </row>
    <row r="33" spans="2:15">
      <c r="B33" s="27" t="s">
        <v>282</v>
      </c>
      <c r="C33" s="27" t="s">
        <v>53</v>
      </c>
      <c r="D33" s="27" t="s">
        <v>6</v>
      </c>
      <c r="E33" s="27" t="s">
        <v>104</v>
      </c>
      <c r="F33" s="27" t="s">
        <v>105</v>
      </c>
      <c r="G33" s="27" t="s">
        <v>106</v>
      </c>
      <c r="H33" s="27" t="s">
        <v>54</v>
      </c>
      <c r="I33" s="28">
        <v>184.35</v>
      </c>
      <c r="J33" s="27">
        <v>-0.26700000000000002</v>
      </c>
      <c r="K33" s="27"/>
      <c r="L33" s="27"/>
      <c r="M33" s="27"/>
      <c r="N33" s="28">
        <v>49.22</v>
      </c>
      <c r="O33" s="27" t="s">
        <v>283</v>
      </c>
    </row>
    <row r="34" spans="2:15">
      <c r="B34" s="27" t="s">
        <v>284</v>
      </c>
      <c r="C34" s="27" t="s">
        <v>53</v>
      </c>
      <c r="D34" s="27" t="s">
        <v>5</v>
      </c>
      <c r="E34" s="27" t="s">
        <v>107</v>
      </c>
      <c r="F34" s="27" t="s">
        <v>108</v>
      </c>
      <c r="G34" s="27" t="s">
        <v>109</v>
      </c>
      <c r="H34" s="27" t="s">
        <v>54</v>
      </c>
      <c r="I34" s="28">
        <v>173.02</v>
      </c>
      <c r="J34" s="27">
        <v>-0.36099999999999999</v>
      </c>
      <c r="K34" s="27"/>
      <c r="L34" s="27"/>
      <c r="M34" s="27"/>
      <c r="N34" s="28">
        <v>62.46</v>
      </c>
      <c r="O34" s="27" t="s">
        <v>285</v>
      </c>
    </row>
    <row r="35" spans="2:15">
      <c r="B35" s="27" t="s">
        <v>284</v>
      </c>
      <c r="C35" s="27" t="s">
        <v>53</v>
      </c>
      <c r="D35" s="27" t="s">
        <v>5</v>
      </c>
      <c r="E35" s="27" t="s">
        <v>110</v>
      </c>
      <c r="F35" s="27" t="s">
        <v>56</v>
      </c>
      <c r="G35" s="27" t="s">
        <v>57</v>
      </c>
      <c r="H35" s="27" t="s">
        <v>54</v>
      </c>
      <c r="I35" s="28">
        <v>694.39</v>
      </c>
      <c r="J35" s="27">
        <v>6.3E-2</v>
      </c>
      <c r="K35" s="27"/>
      <c r="L35" s="27"/>
      <c r="M35" s="27"/>
      <c r="N35" s="28">
        <v>-43.75</v>
      </c>
      <c r="O35" s="27" t="s">
        <v>285</v>
      </c>
    </row>
    <row r="36" spans="2:15">
      <c r="B36" s="27" t="s">
        <v>284</v>
      </c>
      <c r="C36" s="27" t="s">
        <v>53</v>
      </c>
      <c r="D36" s="27" t="s">
        <v>5</v>
      </c>
      <c r="E36" s="27" t="s">
        <v>97</v>
      </c>
      <c r="F36" s="27" t="s">
        <v>59</v>
      </c>
      <c r="G36" s="27" t="s">
        <v>60</v>
      </c>
      <c r="H36" s="27" t="s">
        <v>54</v>
      </c>
      <c r="I36" s="28">
        <v>437.21</v>
      </c>
      <c r="J36" s="27">
        <v>4.5999999999999999E-2</v>
      </c>
      <c r="K36" s="27"/>
      <c r="L36" s="27"/>
      <c r="M36" s="27"/>
      <c r="N36" s="28">
        <v>-20.11</v>
      </c>
      <c r="O36" s="27" t="s">
        <v>285</v>
      </c>
    </row>
    <row r="37" spans="2:15">
      <c r="B37" s="27" t="s">
        <v>284</v>
      </c>
      <c r="C37" s="27" t="s">
        <v>53</v>
      </c>
      <c r="D37" s="27" t="s">
        <v>5</v>
      </c>
      <c r="E37" s="27" t="s">
        <v>58</v>
      </c>
      <c r="F37" s="27" t="s">
        <v>59</v>
      </c>
      <c r="G37" s="27" t="s">
        <v>60</v>
      </c>
      <c r="H37" s="27" t="s">
        <v>54</v>
      </c>
      <c r="I37" s="28">
        <v>437.99</v>
      </c>
      <c r="J37" s="27">
        <v>-9.2999999999999999E-2</v>
      </c>
      <c r="K37" s="27"/>
      <c r="L37" s="27"/>
      <c r="M37" s="27"/>
      <c r="N37" s="28">
        <v>40.729999999999997</v>
      </c>
      <c r="O37" s="27" t="s">
        <v>285</v>
      </c>
    </row>
    <row r="38" spans="2:15">
      <c r="B38" s="27" t="s">
        <v>284</v>
      </c>
      <c r="C38" s="27" t="s">
        <v>53</v>
      </c>
      <c r="D38" s="27" t="s">
        <v>5</v>
      </c>
      <c r="E38" s="27" t="s">
        <v>111</v>
      </c>
      <c r="F38" s="27" t="s">
        <v>62</v>
      </c>
      <c r="G38" s="27" t="s">
        <v>63</v>
      </c>
      <c r="H38" s="27" t="s">
        <v>54</v>
      </c>
      <c r="I38" s="28">
        <v>66.12</v>
      </c>
      <c r="J38" s="27">
        <v>0.66500000000000004</v>
      </c>
      <c r="K38" s="27"/>
      <c r="L38" s="27"/>
      <c r="M38" s="27"/>
      <c r="N38" s="28">
        <v>-43.97</v>
      </c>
      <c r="O38" s="27" t="s">
        <v>285</v>
      </c>
    </row>
    <row r="39" spans="2:15">
      <c r="B39" s="27" t="s">
        <v>284</v>
      </c>
      <c r="C39" s="27" t="s">
        <v>53</v>
      </c>
      <c r="D39" s="27" t="s">
        <v>5</v>
      </c>
      <c r="E39" s="27" t="s">
        <v>112</v>
      </c>
      <c r="F39" s="27" t="s">
        <v>113</v>
      </c>
      <c r="G39" s="27" t="s">
        <v>114</v>
      </c>
      <c r="H39" s="27" t="s">
        <v>54</v>
      </c>
      <c r="I39" s="28">
        <v>28.58</v>
      </c>
      <c r="J39" s="27">
        <v>-0.59199999999999997</v>
      </c>
      <c r="K39" s="27"/>
      <c r="L39" s="27"/>
      <c r="M39" s="27"/>
      <c r="N39" s="28">
        <v>16.920000000000002</v>
      </c>
      <c r="O39" s="27" t="s">
        <v>285</v>
      </c>
    </row>
    <row r="40" spans="2:15">
      <c r="B40" s="27" t="s">
        <v>284</v>
      </c>
      <c r="C40" s="27" t="s">
        <v>53</v>
      </c>
      <c r="D40" s="27" t="s">
        <v>5</v>
      </c>
      <c r="E40" s="27" t="s">
        <v>115</v>
      </c>
      <c r="F40" s="27" t="s">
        <v>65</v>
      </c>
      <c r="G40" s="27" t="s">
        <v>66</v>
      </c>
      <c r="H40" s="27" t="s">
        <v>54</v>
      </c>
      <c r="I40" s="28">
        <v>368.9</v>
      </c>
      <c r="J40" s="27">
        <v>0.27800000000000002</v>
      </c>
      <c r="K40" s="27"/>
      <c r="L40" s="27"/>
      <c r="M40" s="27"/>
      <c r="N40" s="28">
        <v>-102.55</v>
      </c>
      <c r="O40" s="27" t="s">
        <v>285</v>
      </c>
    </row>
    <row r="41" spans="2:15">
      <c r="B41" s="27" t="s">
        <v>284</v>
      </c>
      <c r="C41" s="27" t="s">
        <v>53</v>
      </c>
      <c r="D41" s="27" t="s">
        <v>5</v>
      </c>
      <c r="E41" s="27" t="s">
        <v>116</v>
      </c>
      <c r="F41" s="27" t="s">
        <v>117</v>
      </c>
      <c r="G41" s="27" t="s">
        <v>118</v>
      </c>
      <c r="H41" s="27" t="s">
        <v>54</v>
      </c>
      <c r="I41" s="28">
        <v>369.14</v>
      </c>
      <c r="J41" s="27">
        <v>-0.3</v>
      </c>
      <c r="K41" s="27"/>
      <c r="L41" s="27"/>
      <c r="M41" s="27"/>
      <c r="N41" s="28">
        <v>110.74</v>
      </c>
      <c r="O41" s="27" t="s">
        <v>285</v>
      </c>
    </row>
    <row r="42" spans="2:15">
      <c r="B42" s="27" t="s">
        <v>284</v>
      </c>
      <c r="C42" s="27" t="s">
        <v>53</v>
      </c>
      <c r="D42" s="27" t="s">
        <v>5</v>
      </c>
      <c r="E42" s="27" t="s">
        <v>119</v>
      </c>
      <c r="F42" s="27" t="s">
        <v>68</v>
      </c>
      <c r="G42" s="27" t="s">
        <v>69</v>
      </c>
      <c r="H42" s="27" t="s">
        <v>54</v>
      </c>
      <c r="I42" s="28">
        <v>68.53</v>
      </c>
      <c r="J42" s="27">
        <v>1</v>
      </c>
      <c r="K42" s="27"/>
      <c r="L42" s="27"/>
      <c r="M42" s="27"/>
      <c r="N42" s="28">
        <v>-68.53</v>
      </c>
      <c r="O42" s="27" t="s">
        <v>285</v>
      </c>
    </row>
    <row r="43" spans="2:15">
      <c r="B43" s="27" t="s">
        <v>284</v>
      </c>
      <c r="C43" s="27" t="s">
        <v>53</v>
      </c>
      <c r="D43" s="27" t="s">
        <v>5</v>
      </c>
      <c r="E43" s="27" t="s">
        <v>119</v>
      </c>
      <c r="F43" s="27" t="s">
        <v>68</v>
      </c>
      <c r="G43" s="27" t="s">
        <v>69</v>
      </c>
      <c r="H43" s="27" t="s">
        <v>54</v>
      </c>
      <c r="I43" s="28">
        <v>68.53</v>
      </c>
      <c r="J43" s="27">
        <v>7.0000000000000007E-2</v>
      </c>
      <c r="K43" s="27"/>
      <c r="L43" s="27"/>
      <c r="M43" s="27"/>
      <c r="N43" s="28">
        <v>-4.8</v>
      </c>
      <c r="O43" s="27" t="s">
        <v>285</v>
      </c>
    </row>
    <row r="44" spans="2:15">
      <c r="B44" s="27" t="s">
        <v>284</v>
      </c>
      <c r="C44" s="27" t="s">
        <v>53</v>
      </c>
      <c r="D44" s="27" t="s">
        <v>5</v>
      </c>
      <c r="E44" s="27" t="s">
        <v>120</v>
      </c>
      <c r="F44" s="27" t="s">
        <v>121</v>
      </c>
      <c r="G44" s="27" t="s">
        <v>122</v>
      </c>
      <c r="H44" s="27" t="s">
        <v>54</v>
      </c>
      <c r="I44" s="28">
        <v>243.52</v>
      </c>
      <c r="J44" s="27">
        <v>-0.30199999999999999</v>
      </c>
      <c r="K44" s="27"/>
      <c r="L44" s="27"/>
      <c r="M44" s="27"/>
      <c r="N44" s="28">
        <v>73.540000000000006</v>
      </c>
      <c r="O44" s="27" t="s">
        <v>285</v>
      </c>
    </row>
    <row r="45" spans="2:15">
      <c r="B45" s="27" t="s">
        <v>284</v>
      </c>
      <c r="C45" s="27" t="s">
        <v>53</v>
      </c>
      <c r="D45" s="27" t="s">
        <v>5</v>
      </c>
      <c r="E45" s="27" t="s">
        <v>123</v>
      </c>
      <c r="F45" s="27" t="s">
        <v>124</v>
      </c>
      <c r="G45" s="27" t="s">
        <v>125</v>
      </c>
      <c r="H45" s="27" t="s">
        <v>54</v>
      </c>
      <c r="I45" s="28">
        <v>32.32</v>
      </c>
      <c r="J45" s="27">
        <v>-0.54900000000000004</v>
      </c>
      <c r="K45" s="27"/>
      <c r="L45" s="27"/>
      <c r="M45" s="27"/>
      <c r="N45" s="28">
        <v>17.739999999999998</v>
      </c>
      <c r="O45" s="27" t="s">
        <v>285</v>
      </c>
    </row>
    <row r="46" spans="2:15">
      <c r="B46" s="27" t="s">
        <v>284</v>
      </c>
      <c r="C46" s="27" t="s">
        <v>53</v>
      </c>
      <c r="D46" s="27" t="s">
        <v>5</v>
      </c>
      <c r="E46" s="27" t="s">
        <v>126</v>
      </c>
      <c r="F46" s="27" t="s">
        <v>74</v>
      </c>
      <c r="G46" s="27" t="s">
        <v>75</v>
      </c>
      <c r="H46" s="27" t="s">
        <v>54</v>
      </c>
      <c r="I46" s="28">
        <v>161.57</v>
      </c>
      <c r="J46" s="27">
        <v>0.30299999999999999</v>
      </c>
      <c r="K46" s="27"/>
      <c r="L46" s="27"/>
      <c r="M46" s="27"/>
      <c r="N46" s="28">
        <v>-48.95</v>
      </c>
      <c r="O46" s="27" t="s">
        <v>285</v>
      </c>
    </row>
    <row r="47" spans="2:15">
      <c r="B47" s="27" t="s">
        <v>284</v>
      </c>
      <c r="C47" s="27" t="s">
        <v>53</v>
      </c>
      <c r="D47" s="27" t="s">
        <v>5</v>
      </c>
      <c r="E47" s="27" t="s">
        <v>127</v>
      </c>
      <c r="F47" s="27" t="s">
        <v>80</v>
      </c>
      <c r="G47" s="27" t="s">
        <v>81</v>
      </c>
      <c r="H47" s="27" t="s">
        <v>54</v>
      </c>
      <c r="I47" s="28">
        <v>67.8</v>
      </c>
      <c r="J47" s="27">
        <v>0.36099999999999999</v>
      </c>
      <c r="K47" s="27"/>
      <c r="L47" s="27"/>
      <c r="M47" s="27"/>
      <c r="N47" s="28">
        <v>-24.47</v>
      </c>
      <c r="O47" s="27" t="s">
        <v>285</v>
      </c>
    </row>
    <row r="48" spans="2:15">
      <c r="B48" s="27" t="s">
        <v>284</v>
      </c>
      <c r="C48" s="27" t="s">
        <v>53</v>
      </c>
      <c r="D48" s="27" t="s">
        <v>5</v>
      </c>
      <c r="E48" s="27" t="s">
        <v>128</v>
      </c>
      <c r="F48" s="27" t="s">
        <v>129</v>
      </c>
      <c r="G48" s="27" t="s">
        <v>130</v>
      </c>
      <c r="H48" s="27" t="s">
        <v>54</v>
      </c>
      <c r="I48" s="28">
        <v>392.7</v>
      </c>
      <c r="J48" s="27">
        <v>-0.17899999999999999</v>
      </c>
      <c r="K48" s="27"/>
      <c r="L48" s="27"/>
      <c r="M48" s="27"/>
      <c r="N48" s="28">
        <v>70.290000000000006</v>
      </c>
      <c r="O48" s="27" t="s">
        <v>285</v>
      </c>
    </row>
    <row r="49" spans="2:15">
      <c r="B49" s="27" t="s">
        <v>284</v>
      </c>
      <c r="C49" s="27" t="s">
        <v>53</v>
      </c>
      <c r="D49" s="27" t="s">
        <v>5</v>
      </c>
      <c r="E49" s="27" t="s">
        <v>131</v>
      </c>
      <c r="F49" s="27" t="s">
        <v>132</v>
      </c>
      <c r="G49" s="27" t="s">
        <v>133</v>
      </c>
      <c r="H49" s="27" t="s">
        <v>54</v>
      </c>
      <c r="I49" s="28">
        <v>280.20999999999998</v>
      </c>
      <c r="J49" s="27">
        <v>-9.1999999999999998E-2</v>
      </c>
      <c r="K49" s="27"/>
      <c r="L49" s="27"/>
      <c r="M49" s="27"/>
      <c r="N49" s="28">
        <v>25.78</v>
      </c>
      <c r="O49" s="27" t="s">
        <v>285</v>
      </c>
    </row>
    <row r="50" spans="2:15">
      <c r="B50" s="27" t="s">
        <v>284</v>
      </c>
      <c r="C50" s="27" t="s">
        <v>53</v>
      </c>
      <c r="D50" s="27" t="s">
        <v>5</v>
      </c>
      <c r="E50" s="27" t="s">
        <v>134</v>
      </c>
      <c r="F50" s="27" t="s">
        <v>95</v>
      </c>
      <c r="G50" s="27" t="s">
        <v>96</v>
      </c>
      <c r="H50" s="27" t="s">
        <v>54</v>
      </c>
      <c r="I50" s="28">
        <v>5.2</v>
      </c>
      <c r="J50" s="27">
        <v>8</v>
      </c>
      <c r="K50" s="27"/>
      <c r="L50" s="27"/>
      <c r="M50" s="27"/>
      <c r="N50" s="28">
        <v>-41.6</v>
      </c>
      <c r="O50" s="27" t="s">
        <v>285</v>
      </c>
    </row>
    <row r="51" spans="2:15">
      <c r="B51" s="27" t="s">
        <v>284</v>
      </c>
      <c r="C51" s="27" t="s">
        <v>53</v>
      </c>
      <c r="D51" s="27" t="s">
        <v>5</v>
      </c>
      <c r="E51" s="27" t="s">
        <v>134</v>
      </c>
      <c r="F51" s="27" t="s">
        <v>95</v>
      </c>
      <c r="G51" s="27" t="s">
        <v>96</v>
      </c>
      <c r="H51" s="27" t="s">
        <v>54</v>
      </c>
      <c r="I51" s="28">
        <v>5.2</v>
      </c>
      <c r="J51" s="27">
        <v>0.46100000000000002</v>
      </c>
      <c r="K51" s="27"/>
      <c r="L51" s="27"/>
      <c r="M51" s="27"/>
      <c r="N51" s="28">
        <v>-2.4</v>
      </c>
      <c r="O51" s="27" t="s">
        <v>285</v>
      </c>
    </row>
    <row r="52" spans="2:15">
      <c r="B52" s="27" t="s">
        <v>284</v>
      </c>
      <c r="C52" s="27" t="s">
        <v>53</v>
      </c>
      <c r="D52" s="27" t="s">
        <v>5</v>
      </c>
      <c r="E52" s="27" t="s">
        <v>135</v>
      </c>
      <c r="F52" s="27" t="s">
        <v>136</v>
      </c>
      <c r="G52" s="27" t="s">
        <v>137</v>
      </c>
      <c r="H52" s="27" t="s">
        <v>54</v>
      </c>
      <c r="I52" s="28">
        <v>255.69</v>
      </c>
      <c r="J52" s="27">
        <v>-5.8000000000000003E-2</v>
      </c>
      <c r="K52" s="27"/>
      <c r="L52" s="27"/>
      <c r="M52" s="27"/>
      <c r="N52" s="28">
        <v>14.83</v>
      </c>
      <c r="O52" s="27" t="s">
        <v>285</v>
      </c>
    </row>
    <row r="53" spans="2:15">
      <c r="B53" s="27" t="s">
        <v>284</v>
      </c>
      <c r="C53" s="27" t="s">
        <v>53</v>
      </c>
      <c r="D53" s="27" t="s">
        <v>5</v>
      </c>
      <c r="E53" s="27" t="s">
        <v>138</v>
      </c>
      <c r="F53" s="27" t="s">
        <v>139</v>
      </c>
      <c r="G53" s="27" t="s">
        <v>140</v>
      </c>
      <c r="H53" s="27" t="s">
        <v>54</v>
      </c>
      <c r="I53" s="28">
        <v>211.27</v>
      </c>
      <c r="J53" s="27">
        <v>-0.114</v>
      </c>
      <c r="K53" s="27"/>
      <c r="L53" s="27"/>
      <c r="M53" s="27"/>
      <c r="N53" s="28">
        <v>24.08</v>
      </c>
      <c r="O53" s="27" t="s">
        <v>285</v>
      </c>
    </row>
    <row r="54" spans="2:15">
      <c r="B54" s="27" t="s">
        <v>284</v>
      </c>
      <c r="C54" s="27" t="s">
        <v>53</v>
      </c>
      <c r="D54" s="27" t="s">
        <v>5</v>
      </c>
      <c r="E54" s="27" t="s">
        <v>98</v>
      </c>
      <c r="F54" s="27" t="s">
        <v>89</v>
      </c>
      <c r="G54" s="27" t="s">
        <v>90</v>
      </c>
      <c r="H54" s="27" t="s">
        <v>54</v>
      </c>
      <c r="I54" s="28">
        <v>297.68</v>
      </c>
      <c r="J54" s="27">
        <v>0.29499999999999998</v>
      </c>
      <c r="K54" s="27"/>
      <c r="L54" s="27"/>
      <c r="M54" s="27"/>
      <c r="N54" s="28">
        <v>-87.82</v>
      </c>
      <c r="O54" s="27" t="s">
        <v>285</v>
      </c>
    </row>
    <row r="55" spans="2:15">
      <c r="B55" s="27" t="s">
        <v>286</v>
      </c>
      <c r="C55" s="27" t="s">
        <v>53</v>
      </c>
      <c r="D55" s="27" t="s">
        <v>5</v>
      </c>
      <c r="E55" s="27" t="s">
        <v>141</v>
      </c>
      <c r="F55" s="27" t="s">
        <v>142</v>
      </c>
      <c r="G55" s="27" t="s">
        <v>143</v>
      </c>
      <c r="H55" s="27" t="s">
        <v>54</v>
      </c>
      <c r="I55" s="28">
        <v>14.53</v>
      </c>
      <c r="J55" s="27">
        <v>-0.184</v>
      </c>
      <c r="K55" s="27"/>
      <c r="L55" s="27"/>
      <c r="M55" s="27"/>
      <c r="N55" s="28">
        <v>2.67</v>
      </c>
      <c r="O55" s="27" t="s">
        <v>287</v>
      </c>
    </row>
    <row r="56" spans="2:15">
      <c r="B56" s="27" t="s">
        <v>286</v>
      </c>
      <c r="C56" s="27" t="s">
        <v>53</v>
      </c>
      <c r="D56" s="27" t="s">
        <v>5</v>
      </c>
      <c r="E56" s="27" t="s">
        <v>141</v>
      </c>
      <c r="F56" s="27" t="s">
        <v>142</v>
      </c>
      <c r="G56" s="27" t="s">
        <v>143</v>
      </c>
      <c r="H56" s="27" t="s">
        <v>54</v>
      </c>
      <c r="I56" s="28">
        <v>14.53</v>
      </c>
      <c r="J56" s="27">
        <v>-2</v>
      </c>
      <c r="K56" s="27"/>
      <c r="L56" s="27"/>
      <c r="M56" s="27"/>
      <c r="N56" s="28">
        <v>29.05</v>
      </c>
      <c r="O56" s="27" t="s">
        <v>287</v>
      </c>
    </row>
    <row r="57" spans="2:15">
      <c r="B57" s="27" t="s">
        <v>286</v>
      </c>
      <c r="C57" s="27" t="s">
        <v>53</v>
      </c>
      <c r="D57" s="27" t="s">
        <v>5</v>
      </c>
      <c r="E57" s="27" t="s">
        <v>144</v>
      </c>
      <c r="F57" s="27" t="s">
        <v>145</v>
      </c>
      <c r="G57" s="27" t="s">
        <v>146</v>
      </c>
      <c r="H57" s="27" t="s">
        <v>54</v>
      </c>
      <c r="I57" s="28">
        <v>9.83</v>
      </c>
      <c r="J57" s="27">
        <v>-0.29099999999999998</v>
      </c>
      <c r="K57" s="27"/>
      <c r="L57" s="27"/>
      <c r="M57" s="27"/>
      <c r="N57" s="28">
        <v>2.86</v>
      </c>
      <c r="O57" s="27" t="s">
        <v>287</v>
      </c>
    </row>
    <row r="58" spans="2:15">
      <c r="B58" s="27" t="s">
        <v>286</v>
      </c>
      <c r="C58" s="27" t="s">
        <v>53</v>
      </c>
      <c r="D58" s="27" t="s">
        <v>5</v>
      </c>
      <c r="E58" s="27" t="s">
        <v>144</v>
      </c>
      <c r="F58" s="27" t="s">
        <v>145</v>
      </c>
      <c r="G58" s="27" t="s">
        <v>146</v>
      </c>
      <c r="H58" s="27" t="s">
        <v>54</v>
      </c>
      <c r="I58" s="28">
        <v>9.83</v>
      </c>
      <c r="J58" s="27">
        <v>-1</v>
      </c>
      <c r="K58" s="27"/>
      <c r="L58" s="27"/>
      <c r="M58" s="27"/>
      <c r="N58" s="28">
        <v>9.83</v>
      </c>
      <c r="O58" s="27" t="s">
        <v>287</v>
      </c>
    </row>
    <row r="59" spans="2:15">
      <c r="B59" s="27" t="s">
        <v>286</v>
      </c>
      <c r="C59" s="27" t="s">
        <v>53</v>
      </c>
      <c r="D59" s="27" t="s">
        <v>5</v>
      </c>
      <c r="E59" s="27" t="s">
        <v>147</v>
      </c>
      <c r="F59" s="27" t="s">
        <v>136</v>
      </c>
      <c r="G59" s="27" t="s">
        <v>137</v>
      </c>
      <c r="H59" s="27" t="s">
        <v>54</v>
      </c>
      <c r="I59" s="28">
        <v>257.55</v>
      </c>
      <c r="J59" s="27">
        <v>5.8000000000000003E-2</v>
      </c>
      <c r="K59" s="27"/>
      <c r="L59" s="27"/>
      <c r="M59" s="27"/>
      <c r="N59" s="28">
        <v>-14.94</v>
      </c>
      <c r="O59" s="27" t="s">
        <v>287</v>
      </c>
    </row>
    <row r="60" spans="2:15">
      <c r="B60" s="27" t="s">
        <v>288</v>
      </c>
      <c r="C60" s="27" t="s">
        <v>53</v>
      </c>
      <c r="D60" s="27" t="s">
        <v>5</v>
      </c>
      <c r="E60" s="27" t="s">
        <v>148</v>
      </c>
      <c r="F60" s="27" t="s">
        <v>108</v>
      </c>
      <c r="G60" s="27" t="s">
        <v>109</v>
      </c>
      <c r="H60" s="27" t="s">
        <v>54</v>
      </c>
      <c r="I60" s="28">
        <v>177.21</v>
      </c>
      <c r="J60" s="27">
        <v>0.36099999999999999</v>
      </c>
      <c r="K60" s="27"/>
      <c r="L60" s="27"/>
      <c r="M60" s="27"/>
      <c r="N60" s="28">
        <v>-63.97</v>
      </c>
      <c r="O60" s="27" t="s">
        <v>289</v>
      </c>
    </row>
    <row r="61" spans="2:15">
      <c r="B61" s="27" t="s">
        <v>288</v>
      </c>
      <c r="C61" s="27" t="s">
        <v>53</v>
      </c>
      <c r="D61" s="27" t="s">
        <v>5</v>
      </c>
      <c r="E61" s="27" t="s">
        <v>149</v>
      </c>
      <c r="F61" s="27" t="s">
        <v>142</v>
      </c>
      <c r="G61" s="27" t="s">
        <v>143</v>
      </c>
      <c r="H61" s="27" t="s">
        <v>54</v>
      </c>
      <c r="I61" s="28">
        <v>16.02</v>
      </c>
      <c r="J61" s="27">
        <v>2</v>
      </c>
      <c r="K61" s="27"/>
      <c r="L61" s="27"/>
      <c r="M61" s="27"/>
      <c r="N61" s="28">
        <v>-32.049999999999997</v>
      </c>
      <c r="O61" s="27" t="s">
        <v>289</v>
      </c>
    </row>
    <row r="62" spans="2:15">
      <c r="B62" s="27" t="s">
        <v>288</v>
      </c>
      <c r="C62" s="27" t="s">
        <v>53</v>
      </c>
      <c r="D62" s="27" t="s">
        <v>5</v>
      </c>
      <c r="E62" s="27" t="s">
        <v>149</v>
      </c>
      <c r="F62" s="27" t="s">
        <v>142</v>
      </c>
      <c r="G62" s="27" t="s">
        <v>143</v>
      </c>
      <c r="H62" s="27" t="s">
        <v>54</v>
      </c>
      <c r="I62" s="28">
        <v>16.02</v>
      </c>
      <c r="J62" s="27">
        <v>0.184</v>
      </c>
      <c r="K62" s="27"/>
      <c r="L62" s="27"/>
      <c r="M62" s="27"/>
      <c r="N62" s="28">
        <v>-2.95</v>
      </c>
      <c r="O62" s="27" t="s">
        <v>289</v>
      </c>
    </row>
    <row r="63" spans="2:15">
      <c r="B63" s="27" t="s">
        <v>288</v>
      </c>
      <c r="C63" s="27" t="s">
        <v>53</v>
      </c>
      <c r="D63" s="27" t="s">
        <v>5</v>
      </c>
      <c r="E63" s="27" t="s">
        <v>97</v>
      </c>
      <c r="F63" s="27" t="s">
        <v>59</v>
      </c>
      <c r="G63" s="27" t="s">
        <v>60</v>
      </c>
      <c r="H63" s="27" t="s">
        <v>54</v>
      </c>
      <c r="I63" s="28">
        <v>478.27</v>
      </c>
      <c r="J63" s="27">
        <v>0.03</v>
      </c>
      <c r="K63" s="27"/>
      <c r="L63" s="27"/>
      <c r="M63" s="27"/>
      <c r="N63" s="28">
        <v>-14.35</v>
      </c>
      <c r="O63" s="27" t="s">
        <v>289</v>
      </c>
    </row>
    <row r="64" spans="2:15">
      <c r="B64" s="27" t="s">
        <v>288</v>
      </c>
      <c r="C64" s="27" t="s">
        <v>53</v>
      </c>
      <c r="D64" s="27" t="s">
        <v>5</v>
      </c>
      <c r="E64" s="27" t="s">
        <v>150</v>
      </c>
      <c r="F64" s="27" t="s">
        <v>113</v>
      </c>
      <c r="G64" s="27" t="s">
        <v>114</v>
      </c>
      <c r="H64" s="27" t="s">
        <v>54</v>
      </c>
      <c r="I64" s="28">
        <v>27.02</v>
      </c>
      <c r="J64" s="27">
        <v>0.59199999999999997</v>
      </c>
      <c r="K64" s="27"/>
      <c r="L64" s="27"/>
      <c r="M64" s="27"/>
      <c r="N64" s="28">
        <v>-15.99</v>
      </c>
      <c r="O64" s="27" t="s">
        <v>289</v>
      </c>
    </row>
    <row r="65" spans="2:15">
      <c r="B65" s="27" t="s">
        <v>288</v>
      </c>
      <c r="C65" s="27" t="s">
        <v>53</v>
      </c>
      <c r="D65" s="27" t="s">
        <v>5</v>
      </c>
      <c r="E65" s="27" t="s">
        <v>151</v>
      </c>
      <c r="F65" s="27" t="s">
        <v>152</v>
      </c>
      <c r="G65" s="27" t="s">
        <v>153</v>
      </c>
      <c r="H65" s="27" t="s">
        <v>54</v>
      </c>
      <c r="I65" s="28">
        <v>197.08</v>
      </c>
      <c r="J65" s="27">
        <v>-0.4</v>
      </c>
      <c r="K65" s="27"/>
      <c r="L65" s="27"/>
      <c r="M65" s="27"/>
      <c r="N65" s="28">
        <v>78.83</v>
      </c>
      <c r="O65" s="27" t="s">
        <v>289</v>
      </c>
    </row>
    <row r="66" spans="2:15">
      <c r="B66" s="27" t="s">
        <v>288</v>
      </c>
      <c r="C66" s="27" t="s">
        <v>53</v>
      </c>
      <c r="D66" s="27" t="s">
        <v>5</v>
      </c>
      <c r="E66" s="27" t="s">
        <v>154</v>
      </c>
      <c r="F66" s="27" t="s">
        <v>155</v>
      </c>
      <c r="G66" s="27" t="s">
        <v>156</v>
      </c>
      <c r="H66" s="27" t="s">
        <v>54</v>
      </c>
      <c r="I66" s="28">
        <v>12.93</v>
      </c>
      <c r="J66" s="27">
        <v>-6.7000000000000004E-2</v>
      </c>
      <c r="K66" s="27"/>
      <c r="L66" s="27"/>
      <c r="M66" s="27"/>
      <c r="N66" s="28">
        <v>0.87</v>
      </c>
      <c r="O66" s="27" t="s">
        <v>289</v>
      </c>
    </row>
    <row r="67" spans="2:15">
      <c r="B67" s="27" t="s">
        <v>288</v>
      </c>
      <c r="C67" s="27" t="s">
        <v>53</v>
      </c>
      <c r="D67" s="27" t="s">
        <v>5</v>
      </c>
      <c r="E67" s="27" t="s">
        <v>154</v>
      </c>
      <c r="F67" s="27" t="s">
        <v>155</v>
      </c>
      <c r="G67" s="27" t="s">
        <v>156</v>
      </c>
      <c r="H67" s="27" t="s">
        <v>54</v>
      </c>
      <c r="I67" s="28">
        <v>12.93</v>
      </c>
      <c r="J67" s="27">
        <v>-2</v>
      </c>
      <c r="K67" s="27"/>
      <c r="L67" s="27"/>
      <c r="M67" s="27"/>
      <c r="N67" s="28">
        <v>25.85</v>
      </c>
      <c r="O67" s="27" t="s">
        <v>289</v>
      </c>
    </row>
    <row r="68" spans="2:15">
      <c r="B68" s="27" t="s">
        <v>288</v>
      </c>
      <c r="C68" s="27" t="s">
        <v>53</v>
      </c>
      <c r="D68" s="27" t="s">
        <v>5</v>
      </c>
      <c r="E68" s="27" t="s">
        <v>157</v>
      </c>
      <c r="F68" s="27" t="s">
        <v>158</v>
      </c>
      <c r="G68" s="27" t="s">
        <v>159</v>
      </c>
      <c r="H68" s="27" t="s">
        <v>54</v>
      </c>
      <c r="I68" s="28">
        <v>136.28</v>
      </c>
      <c r="J68" s="27">
        <v>-0.35199999999999998</v>
      </c>
      <c r="K68" s="27"/>
      <c r="L68" s="27"/>
      <c r="M68" s="27"/>
      <c r="N68" s="28">
        <v>47.97</v>
      </c>
      <c r="O68" s="27" t="s">
        <v>289</v>
      </c>
    </row>
    <row r="69" spans="2:15">
      <c r="B69" s="27" t="s">
        <v>288</v>
      </c>
      <c r="C69" s="27" t="s">
        <v>53</v>
      </c>
      <c r="D69" s="27" t="s">
        <v>5</v>
      </c>
      <c r="E69" s="27" t="s">
        <v>160</v>
      </c>
      <c r="F69" s="27" t="s">
        <v>117</v>
      </c>
      <c r="G69" s="27" t="s">
        <v>118</v>
      </c>
      <c r="H69" s="27" t="s">
        <v>54</v>
      </c>
      <c r="I69" s="28">
        <v>398.78</v>
      </c>
      <c r="J69" s="27">
        <v>0.3</v>
      </c>
      <c r="K69" s="27"/>
      <c r="L69" s="27"/>
      <c r="M69" s="27"/>
      <c r="N69" s="28">
        <v>-119.63</v>
      </c>
      <c r="O69" s="27" t="s">
        <v>289</v>
      </c>
    </row>
    <row r="70" spans="2:15">
      <c r="B70" s="27" t="s">
        <v>288</v>
      </c>
      <c r="C70" s="27" t="s">
        <v>53</v>
      </c>
      <c r="D70" s="27" t="s">
        <v>5</v>
      </c>
      <c r="E70" s="27" t="s">
        <v>161</v>
      </c>
      <c r="F70" s="27" t="s">
        <v>121</v>
      </c>
      <c r="G70" s="27" t="s">
        <v>122</v>
      </c>
      <c r="H70" s="27" t="s">
        <v>54</v>
      </c>
      <c r="I70" s="28">
        <v>237.76</v>
      </c>
      <c r="J70" s="27">
        <v>0.30199999999999999</v>
      </c>
      <c r="K70" s="27"/>
      <c r="L70" s="27"/>
      <c r="M70" s="27"/>
      <c r="N70" s="28">
        <v>-71.8</v>
      </c>
      <c r="O70" s="27" t="s">
        <v>289</v>
      </c>
    </row>
    <row r="71" spans="2:15">
      <c r="B71" s="27" t="s">
        <v>288</v>
      </c>
      <c r="C71" s="27" t="s">
        <v>53</v>
      </c>
      <c r="D71" s="27" t="s">
        <v>5</v>
      </c>
      <c r="E71" s="27" t="s">
        <v>162</v>
      </c>
      <c r="F71" s="27" t="s">
        <v>145</v>
      </c>
      <c r="G71" s="27" t="s">
        <v>146</v>
      </c>
      <c r="H71" s="27" t="s">
        <v>54</v>
      </c>
      <c r="I71" s="28">
        <v>11.62</v>
      </c>
      <c r="J71" s="27">
        <v>1</v>
      </c>
      <c r="K71" s="27"/>
      <c r="L71" s="27"/>
      <c r="M71" s="27"/>
      <c r="N71" s="28">
        <v>-11.62</v>
      </c>
      <c r="O71" s="27" t="s">
        <v>289</v>
      </c>
    </row>
    <row r="72" spans="2:15">
      <c r="B72" s="27" t="s">
        <v>288</v>
      </c>
      <c r="C72" s="27" t="s">
        <v>53</v>
      </c>
      <c r="D72" s="27" t="s">
        <v>5</v>
      </c>
      <c r="E72" s="27" t="s">
        <v>162</v>
      </c>
      <c r="F72" s="27" t="s">
        <v>145</v>
      </c>
      <c r="G72" s="27" t="s">
        <v>146</v>
      </c>
      <c r="H72" s="27" t="s">
        <v>54</v>
      </c>
      <c r="I72" s="28">
        <v>11.62</v>
      </c>
      <c r="J72" s="27">
        <v>0.29099999999999998</v>
      </c>
      <c r="K72" s="27"/>
      <c r="L72" s="27"/>
      <c r="M72" s="27"/>
      <c r="N72" s="28">
        <v>-3.38</v>
      </c>
      <c r="O72" s="27" t="s">
        <v>289</v>
      </c>
    </row>
    <row r="73" spans="2:15">
      <c r="B73" s="27" t="s">
        <v>288</v>
      </c>
      <c r="C73" s="27" t="s">
        <v>53</v>
      </c>
      <c r="D73" s="27" t="s">
        <v>5</v>
      </c>
      <c r="E73" s="27" t="s">
        <v>163</v>
      </c>
      <c r="F73" s="27" t="s">
        <v>164</v>
      </c>
      <c r="G73" s="27" t="s">
        <v>165</v>
      </c>
      <c r="H73" s="27" t="s">
        <v>54</v>
      </c>
      <c r="I73" s="28">
        <v>56.01</v>
      </c>
      <c r="J73" s="27">
        <v>-0.40600000000000003</v>
      </c>
      <c r="K73" s="27"/>
      <c r="L73" s="27"/>
      <c r="M73" s="27"/>
      <c r="N73" s="28">
        <v>22.74</v>
      </c>
      <c r="O73" s="27" t="s">
        <v>289</v>
      </c>
    </row>
    <row r="74" spans="2:15">
      <c r="B74" s="27" t="s">
        <v>288</v>
      </c>
      <c r="C74" s="27" t="s">
        <v>53</v>
      </c>
      <c r="D74" s="27" t="s">
        <v>5</v>
      </c>
      <c r="E74" s="27" t="s">
        <v>163</v>
      </c>
      <c r="F74" s="27" t="s">
        <v>164</v>
      </c>
      <c r="G74" s="27" t="s">
        <v>165</v>
      </c>
      <c r="H74" s="27" t="s">
        <v>54</v>
      </c>
      <c r="I74" s="28">
        <v>56</v>
      </c>
      <c r="J74" s="27">
        <v>-1</v>
      </c>
      <c r="K74" s="27"/>
      <c r="L74" s="27"/>
      <c r="M74" s="27"/>
      <c r="N74" s="28">
        <v>56</v>
      </c>
      <c r="O74" s="27" t="s">
        <v>289</v>
      </c>
    </row>
    <row r="75" spans="2:15">
      <c r="B75" s="27" t="s">
        <v>288</v>
      </c>
      <c r="C75" s="27" t="s">
        <v>53</v>
      </c>
      <c r="D75" s="27" t="s">
        <v>5</v>
      </c>
      <c r="E75" s="27" t="s">
        <v>166</v>
      </c>
      <c r="F75" s="27" t="s">
        <v>124</v>
      </c>
      <c r="G75" s="27" t="s">
        <v>125</v>
      </c>
      <c r="H75" s="27" t="s">
        <v>54</v>
      </c>
      <c r="I75" s="28">
        <v>18.18</v>
      </c>
      <c r="J75" s="27">
        <v>0.54900000000000004</v>
      </c>
      <c r="K75" s="27"/>
      <c r="L75" s="27"/>
      <c r="M75" s="27"/>
      <c r="N75" s="28">
        <v>-9.98</v>
      </c>
      <c r="O75" s="27" t="s">
        <v>289</v>
      </c>
    </row>
    <row r="76" spans="2:15">
      <c r="B76" s="27" t="s">
        <v>288</v>
      </c>
      <c r="C76" s="27" t="s">
        <v>53</v>
      </c>
      <c r="D76" s="27" t="s">
        <v>5</v>
      </c>
      <c r="E76" s="27" t="s">
        <v>167</v>
      </c>
      <c r="F76" s="27" t="s">
        <v>168</v>
      </c>
      <c r="G76" s="27" t="s">
        <v>169</v>
      </c>
      <c r="H76" s="27" t="s">
        <v>54</v>
      </c>
      <c r="I76" s="28">
        <v>651.38</v>
      </c>
      <c r="J76" s="27">
        <v>-0.105</v>
      </c>
      <c r="K76" s="27"/>
      <c r="L76" s="27"/>
      <c r="M76" s="27"/>
      <c r="N76" s="28">
        <v>68.39</v>
      </c>
      <c r="O76" s="27" t="s">
        <v>289</v>
      </c>
    </row>
    <row r="77" spans="2:15">
      <c r="B77" s="27" t="s">
        <v>288</v>
      </c>
      <c r="C77" s="27" t="s">
        <v>53</v>
      </c>
      <c r="D77" s="27" t="s">
        <v>5</v>
      </c>
      <c r="E77" s="27" t="s">
        <v>170</v>
      </c>
      <c r="F77" s="27" t="s">
        <v>129</v>
      </c>
      <c r="G77" s="27" t="s">
        <v>130</v>
      </c>
      <c r="H77" s="27" t="s">
        <v>54</v>
      </c>
      <c r="I77" s="28">
        <v>362.32</v>
      </c>
      <c r="J77" s="27">
        <v>0.17899999999999999</v>
      </c>
      <c r="K77" s="27"/>
      <c r="L77" s="27"/>
      <c r="M77" s="27"/>
      <c r="N77" s="28">
        <v>-64.86</v>
      </c>
      <c r="O77" s="27" t="s">
        <v>289</v>
      </c>
    </row>
    <row r="78" spans="2:15">
      <c r="B78" s="27" t="s">
        <v>288</v>
      </c>
      <c r="C78" s="27" t="s">
        <v>53</v>
      </c>
      <c r="D78" s="27" t="s">
        <v>5</v>
      </c>
      <c r="E78" s="27" t="s">
        <v>171</v>
      </c>
      <c r="F78" s="27" t="s">
        <v>139</v>
      </c>
      <c r="G78" s="27" t="s">
        <v>140</v>
      </c>
      <c r="H78" s="27" t="s">
        <v>54</v>
      </c>
      <c r="I78" s="28">
        <v>210.34</v>
      </c>
      <c r="J78" s="27">
        <v>0.114</v>
      </c>
      <c r="K78" s="27"/>
      <c r="L78" s="27"/>
      <c r="M78" s="27"/>
      <c r="N78" s="28">
        <v>-23.98</v>
      </c>
      <c r="O78" s="27" t="s">
        <v>289</v>
      </c>
    </row>
    <row r="79" spans="2:15">
      <c r="B79" s="27" t="s">
        <v>288</v>
      </c>
      <c r="C79" s="27" t="s">
        <v>53</v>
      </c>
      <c r="D79" s="27" t="s">
        <v>5</v>
      </c>
      <c r="E79" s="27" t="s">
        <v>172</v>
      </c>
      <c r="F79" s="27" t="s">
        <v>173</v>
      </c>
      <c r="G79" s="27" t="s">
        <v>174</v>
      </c>
      <c r="H79" s="27" t="s">
        <v>54</v>
      </c>
      <c r="I79" s="28">
        <v>67.41</v>
      </c>
      <c r="J79" s="27">
        <v>-0.67700000000000005</v>
      </c>
      <c r="K79" s="27"/>
      <c r="L79" s="27"/>
      <c r="M79" s="27"/>
      <c r="N79" s="28">
        <v>45.64</v>
      </c>
      <c r="O79" s="27" t="s">
        <v>289</v>
      </c>
    </row>
    <row r="80" spans="2:15">
      <c r="B80" s="27" t="s">
        <v>288</v>
      </c>
      <c r="C80" s="27" t="s">
        <v>53</v>
      </c>
      <c r="D80" s="27" t="s">
        <v>5</v>
      </c>
      <c r="E80" s="27" t="s">
        <v>88</v>
      </c>
      <c r="F80" s="27" t="s">
        <v>89</v>
      </c>
      <c r="G80" s="27" t="s">
        <v>90</v>
      </c>
      <c r="H80" s="27" t="s">
        <v>54</v>
      </c>
      <c r="I80" s="28">
        <v>310.70999999999998</v>
      </c>
      <c r="J80" s="27">
        <v>-0.29099999999999998</v>
      </c>
      <c r="K80" s="27"/>
      <c r="L80" s="27"/>
      <c r="M80" s="27"/>
      <c r="N80" s="28">
        <v>90.42</v>
      </c>
      <c r="O80" s="27" t="s">
        <v>289</v>
      </c>
    </row>
    <row r="81" spans="2:15">
      <c r="B81" s="27" t="s">
        <v>290</v>
      </c>
      <c r="C81" s="27" t="s">
        <v>53</v>
      </c>
      <c r="D81" s="27" t="s">
        <v>5</v>
      </c>
      <c r="E81" s="27" t="s">
        <v>97</v>
      </c>
      <c r="F81" s="27" t="s">
        <v>59</v>
      </c>
      <c r="G81" s="27" t="s">
        <v>60</v>
      </c>
      <c r="H81" s="27" t="s">
        <v>54</v>
      </c>
      <c r="I81" s="28">
        <v>431.47</v>
      </c>
      <c r="J81" s="27">
        <v>6.3E-2</v>
      </c>
      <c r="K81" s="27"/>
      <c r="L81" s="27"/>
      <c r="M81" s="27"/>
      <c r="N81" s="28">
        <v>-27.18</v>
      </c>
      <c r="O81" s="27" t="s">
        <v>291</v>
      </c>
    </row>
    <row r="82" spans="2:15">
      <c r="B82" s="27" t="s">
        <v>290</v>
      </c>
      <c r="C82" s="27" t="s">
        <v>53</v>
      </c>
      <c r="D82" s="27" t="s">
        <v>5</v>
      </c>
      <c r="E82" s="27" t="s">
        <v>175</v>
      </c>
      <c r="F82" s="27" t="s">
        <v>152</v>
      </c>
      <c r="G82" s="27" t="s">
        <v>153</v>
      </c>
      <c r="H82" s="27" t="s">
        <v>54</v>
      </c>
      <c r="I82" s="28">
        <v>187.06</v>
      </c>
      <c r="J82" s="27">
        <v>0.4</v>
      </c>
      <c r="K82" s="27"/>
      <c r="L82" s="27"/>
      <c r="M82" s="27"/>
      <c r="N82" s="28">
        <v>-74.819999999999993</v>
      </c>
      <c r="O82" s="27" t="s">
        <v>291</v>
      </c>
    </row>
    <row r="83" spans="2:15">
      <c r="B83" s="27" t="s">
        <v>290</v>
      </c>
      <c r="C83" s="27" t="s">
        <v>53</v>
      </c>
      <c r="D83" s="27" t="s">
        <v>5</v>
      </c>
      <c r="E83" s="27" t="s">
        <v>176</v>
      </c>
      <c r="F83" s="27" t="s">
        <v>155</v>
      </c>
      <c r="G83" s="27" t="s">
        <v>156</v>
      </c>
      <c r="H83" s="27" t="s">
        <v>54</v>
      </c>
      <c r="I83" s="28">
        <v>12.09</v>
      </c>
      <c r="J83" s="27">
        <v>2</v>
      </c>
      <c r="K83" s="27"/>
      <c r="L83" s="27"/>
      <c r="M83" s="27"/>
      <c r="N83" s="28">
        <v>-24.19</v>
      </c>
      <c r="O83" s="27" t="s">
        <v>291</v>
      </c>
    </row>
    <row r="84" spans="2:15">
      <c r="B84" s="27" t="s">
        <v>290</v>
      </c>
      <c r="C84" s="27" t="s">
        <v>53</v>
      </c>
      <c r="D84" s="27" t="s">
        <v>5</v>
      </c>
      <c r="E84" s="27" t="s">
        <v>176</v>
      </c>
      <c r="F84" s="27" t="s">
        <v>155</v>
      </c>
      <c r="G84" s="27" t="s">
        <v>156</v>
      </c>
      <c r="H84" s="27" t="s">
        <v>54</v>
      </c>
      <c r="I84" s="28">
        <v>12.1</v>
      </c>
      <c r="J84" s="27">
        <v>6.7000000000000004E-2</v>
      </c>
      <c r="K84" s="27"/>
      <c r="L84" s="27"/>
      <c r="M84" s="27"/>
      <c r="N84" s="28">
        <v>-0.81</v>
      </c>
      <c r="O84" s="27" t="s">
        <v>291</v>
      </c>
    </row>
    <row r="85" spans="2:15">
      <c r="B85" s="27" t="s">
        <v>290</v>
      </c>
      <c r="C85" s="27" t="s">
        <v>53</v>
      </c>
      <c r="D85" s="27" t="s">
        <v>5</v>
      </c>
      <c r="E85" s="27" t="s">
        <v>177</v>
      </c>
      <c r="F85" s="27" t="s">
        <v>158</v>
      </c>
      <c r="G85" s="27" t="s">
        <v>159</v>
      </c>
      <c r="H85" s="27" t="s">
        <v>54</v>
      </c>
      <c r="I85" s="28">
        <v>141.66</v>
      </c>
      <c r="J85" s="27">
        <v>0.35199999999999998</v>
      </c>
      <c r="K85" s="27"/>
      <c r="L85" s="27"/>
      <c r="M85" s="27"/>
      <c r="N85" s="28">
        <v>-49.86</v>
      </c>
      <c r="O85" s="27" t="s">
        <v>291</v>
      </c>
    </row>
    <row r="86" spans="2:15">
      <c r="B86" s="27" t="s">
        <v>290</v>
      </c>
      <c r="C86" s="27" t="s">
        <v>53</v>
      </c>
      <c r="D86" s="27" t="s">
        <v>5</v>
      </c>
      <c r="E86" s="27" t="s">
        <v>178</v>
      </c>
      <c r="F86" s="27" t="s">
        <v>164</v>
      </c>
      <c r="G86" s="27" t="s">
        <v>165</v>
      </c>
      <c r="H86" s="27" t="s">
        <v>54</v>
      </c>
      <c r="I86" s="28">
        <v>53.32</v>
      </c>
      <c r="J86" s="27">
        <v>1</v>
      </c>
      <c r="K86" s="27"/>
      <c r="L86" s="27"/>
      <c r="M86" s="27"/>
      <c r="N86" s="28">
        <v>-53.32</v>
      </c>
      <c r="O86" s="27" t="s">
        <v>291</v>
      </c>
    </row>
    <row r="87" spans="2:15">
      <c r="B87" s="27" t="s">
        <v>290</v>
      </c>
      <c r="C87" s="27" t="s">
        <v>53</v>
      </c>
      <c r="D87" s="27" t="s">
        <v>5</v>
      </c>
      <c r="E87" s="27" t="s">
        <v>178</v>
      </c>
      <c r="F87" s="27" t="s">
        <v>164</v>
      </c>
      <c r="G87" s="27" t="s">
        <v>165</v>
      </c>
      <c r="H87" s="27" t="s">
        <v>54</v>
      </c>
      <c r="I87" s="28">
        <v>53.33</v>
      </c>
      <c r="J87" s="27">
        <v>0.40600000000000003</v>
      </c>
      <c r="K87" s="27"/>
      <c r="L87" s="27"/>
      <c r="M87" s="27"/>
      <c r="N87" s="28">
        <v>-21.65</v>
      </c>
      <c r="O87" s="27" t="s">
        <v>291</v>
      </c>
    </row>
    <row r="88" spans="2:15">
      <c r="B88" s="27" t="s">
        <v>290</v>
      </c>
      <c r="C88" s="27" t="s">
        <v>53</v>
      </c>
      <c r="D88" s="27" t="s">
        <v>5</v>
      </c>
      <c r="E88" s="27" t="s">
        <v>179</v>
      </c>
      <c r="F88" s="27" t="s">
        <v>168</v>
      </c>
      <c r="G88" s="27" t="s">
        <v>169</v>
      </c>
      <c r="H88" s="27" t="s">
        <v>54</v>
      </c>
      <c r="I88" s="28">
        <v>711.96</v>
      </c>
      <c r="J88" s="27">
        <v>0.105</v>
      </c>
      <c r="K88" s="27"/>
      <c r="L88" s="27"/>
      <c r="M88" s="27"/>
      <c r="N88" s="28">
        <v>-74.760000000000005</v>
      </c>
      <c r="O88" s="27" t="s">
        <v>291</v>
      </c>
    </row>
    <row r="89" spans="2:15">
      <c r="B89" s="27" t="s">
        <v>290</v>
      </c>
      <c r="C89" s="27" t="s">
        <v>53</v>
      </c>
      <c r="D89" s="27" t="s">
        <v>5</v>
      </c>
      <c r="E89" s="27" t="s">
        <v>180</v>
      </c>
      <c r="F89" s="27" t="s">
        <v>132</v>
      </c>
      <c r="G89" s="27" t="s">
        <v>133</v>
      </c>
      <c r="H89" s="27" t="s">
        <v>54</v>
      </c>
      <c r="I89" s="28">
        <v>271.39</v>
      </c>
      <c r="J89" s="27">
        <v>9.1999999999999998E-2</v>
      </c>
      <c r="K89" s="27"/>
      <c r="L89" s="27"/>
      <c r="M89" s="27"/>
      <c r="N89" s="28">
        <v>-24.97</v>
      </c>
      <c r="O89" s="27" t="s">
        <v>291</v>
      </c>
    </row>
    <row r="90" spans="2:15">
      <c r="B90" s="27" t="s">
        <v>290</v>
      </c>
      <c r="C90" s="27" t="s">
        <v>53</v>
      </c>
      <c r="D90" s="27" t="s">
        <v>5</v>
      </c>
      <c r="E90" s="27" t="s">
        <v>181</v>
      </c>
      <c r="F90" s="27" t="s">
        <v>173</v>
      </c>
      <c r="G90" s="27" t="s">
        <v>174</v>
      </c>
      <c r="H90" s="27" t="s">
        <v>54</v>
      </c>
      <c r="I90" s="28">
        <v>73.849999999999994</v>
      </c>
      <c r="J90" s="27">
        <v>0.67700000000000005</v>
      </c>
      <c r="K90" s="27"/>
      <c r="L90" s="27"/>
      <c r="M90" s="27"/>
      <c r="N90" s="28">
        <v>-50</v>
      </c>
      <c r="O90" s="27" t="s">
        <v>291</v>
      </c>
    </row>
    <row r="91" spans="2:15">
      <c r="B91" s="27" t="s">
        <v>290</v>
      </c>
      <c r="C91" s="27" t="s">
        <v>53</v>
      </c>
      <c r="D91" s="27" t="s">
        <v>5</v>
      </c>
      <c r="E91" s="27" t="s">
        <v>98</v>
      </c>
      <c r="F91" s="27" t="s">
        <v>89</v>
      </c>
      <c r="G91" s="27" t="s">
        <v>90</v>
      </c>
      <c r="H91" s="27" t="s">
        <v>54</v>
      </c>
      <c r="I91" s="28">
        <v>343.41</v>
      </c>
      <c r="J91" s="27">
        <v>0.29099999999999998</v>
      </c>
      <c r="K91" s="27"/>
      <c r="L91" s="27"/>
      <c r="M91" s="27"/>
      <c r="N91" s="28">
        <v>-99.93</v>
      </c>
      <c r="O91" s="27" t="s">
        <v>291</v>
      </c>
    </row>
    <row r="92" spans="2:15">
      <c r="B92" s="27" t="s">
        <v>290</v>
      </c>
      <c r="C92" s="27" t="s">
        <v>53</v>
      </c>
      <c r="D92" s="27" t="s">
        <v>5</v>
      </c>
      <c r="E92" s="27" t="s">
        <v>182</v>
      </c>
      <c r="F92" s="27" t="s">
        <v>183</v>
      </c>
      <c r="G92" s="27" t="s">
        <v>184</v>
      </c>
      <c r="H92" s="27" t="s">
        <v>54</v>
      </c>
      <c r="I92" s="28">
        <v>50.8</v>
      </c>
      <c r="J92" s="27">
        <v>0.51100000000000001</v>
      </c>
      <c r="K92" s="27"/>
      <c r="L92" s="27"/>
      <c r="M92" s="27"/>
      <c r="N92" s="28">
        <v>-25.96</v>
      </c>
      <c r="O92" s="27" t="s">
        <v>291</v>
      </c>
    </row>
    <row r="93" spans="2:15">
      <c r="B93" s="27" t="s">
        <v>290</v>
      </c>
      <c r="C93" s="27" t="s">
        <v>53</v>
      </c>
      <c r="D93" s="27" t="s">
        <v>5</v>
      </c>
      <c r="E93" s="27" t="s">
        <v>185</v>
      </c>
      <c r="F93" s="27" t="s">
        <v>183</v>
      </c>
      <c r="G93" s="27" t="s">
        <v>184</v>
      </c>
      <c r="H93" s="27" t="s">
        <v>54</v>
      </c>
      <c r="I93" s="28">
        <v>50.94</v>
      </c>
      <c r="J93" s="27">
        <v>-0.51100000000000001</v>
      </c>
      <c r="K93" s="27"/>
      <c r="L93" s="27"/>
      <c r="M93" s="27"/>
      <c r="N93" s="28">
        <v>26.03</v>
      </c>
      <c r="O93" s="27" t="s">
        <v>291</v>
      </c>
    </row>
    <row r="94" spans="2:15">
      <c r="B94" s="27" t="s">
        <v>292</v>
      </c>
      <c r="C94" s="27" t="s">
        <v>53</v>
      </c>
      <c r="D94" s="27" t="s">
        <v>6</v>
      </c>
      <c r="E94" s="27" t="s">
        <v>97</v>
      </c>
      <c r="F94" s="27" t="s">
        <v>59</v>
      </c>
      <c r="G94" s="27" t="s">
        <v>60</v>
      </c>
      <c r="H94" s="27" t="s">
        <v>54</v>
      </c>
      <c r="I94" s="28">
        <v>486.84</v>
      </c>
      <c r="J94" s="27">
        <v>0.20499999999999999</v>
      </c>
      <c r="K94" s="27"/>
      <c r="L94" s="27"/>
      <c r="M94" s="27"/>
      <c r="N94" s="28">
        <v>-99.8</v>
      </c>
      <c r="O94" s="27" t="s">
        <v>293</v>
      </c>
    </row>
    <row r="95" spans="2:15">
      <c r="B95" s="27" t="s">
        <v>292</v>
      </c>
      <c r="C95" s="27" t="s">
        <v>53</v>
      </c>
      <c r="D95" s="27" t="s">
        <v>6</v>
      </c>
      <c r="E95" s="27" t="s">
        <v>186</v>
      </c>
      <c r="F95" s="27" t="s">
        <v>101</v>
      </c>
      <c r="G95" s="27" t="s">
        <v>102</v>
      </c>
      <c r="H95" s="27" t="s">
        <v>54</v>
      </c>
      <c r="I95" s="28">
        <v>695.27</v>
      </c>
      <c r="J95" s="27">
        <v>0.215</v>
      </c>
      <c r="K95" s="27"/>
      <c r="L95" s="27"/>
      <c r="M95" s="27"/>
      <c r="N95" s="28">
        <v>-149.47999999999999</v>
      </c>
      <c r="O95" s="27" t="s">
        <v>293</v>
      </c>
    </row>
    <row r="96" spans="2:15">
      <c r="B96" s="27" t="s">
        <v>292</v>
      </c>
      <c r="C96" s="27" t="s">
        <v>53</v>
      </c>
      <c r="D96" s="27" t="s">
        <v>6</v>
      </c>
      <c r="E96" s="27" t="s">
        <v>187</v>
      </c>
      <c r="F96" s="27" t="s">
        <v>92</v>
      </c>
      <c r="G96" s="27" t="s">
        <v>93</v>
      </c>
      <c r="H96" s="27" t="s">
        <v>54</v>
      </c>
      <c r="I96" s="28">
        <v>103.9</v>
      </c>
      <c r="J96" s="27">
        <v>2</v>
      </c>
      <c r="K96" s="27"/>
      <c r="L96" s="27"/>
      <c r="M96" s="27"/>
      <c r="N96" s="28">
        <v>-207.81</v>
      </c>
      <c r="O96" s="27" t="s">
        <v>293</v>
      </c>
    </row>
    <row r="97" spans="2:15">
      <c r="B97" s="27" t="s">
        <v>292</v>
      </c>
      <c r="C97" s="27" t="s">
        <v>53</v>
      </c>
      <c r="D97" s="27" t="s">
        <v>6</v>
      </c>
      <c r="E97" s="27" t="s">
        <v>188</v>
      </c>
      <c r="F97" s="27" t="s">
        <v>105</v>
      </c>
      <c r="G97" s="27" t="s">
        <v>106</v>
      </c>
      <c r="H97" s="27" t="s">
        <v>54</v>
      </c>
      <c r="I97" s="28">
        <v>160.38</v>
      </c>
      <c r="J97" s="27">
        <v>0.26700000000000002</v>
      </c>
      <c r="K97" s="27"/>
      <c r="L97" s="27"/>
      <c r="M97" s="27"/>
      <c r="N97" s="28">
        <v>-42.82</v>
      </c>
      <c r="O97" s="27" t="s">
        <v>293</v>
      </c>
    </row>
    <row r="98" spans="2:15">
      <c r="B98" s="27" t="s">
        <v>294</v>
      </c>
      <c r="C98" s="27" t="s">
        <v>53</v>
      </c>
      <c r="D98" s="27" t="s">
        <v>4</v>
      </c>
      <c r="E98" s="27" t="s">
        <v>189</v>
      </c>
      <c r="F98" s="27" t="s">
        <v>77</v>
      </c>
      <c r="G98" s="27" t="s">
        <v>78</v>
      </c>
      <c r="H98" s="27" t="s">
        <v>54</v>
      </c>
      <c r="I98" s="28">
        <v>634.84</v>
      </c>
      <c r="J98" s="27">
        <v>0.39300000000000002</v>
      </c>
      <c r="K98" s="27"/>
      <c r="L98" s="27"/>
      <c r="M98" s="27"/>
      <c r="N98" s="28">
        <v>-249.49</v>
      </c>
      <c r="O98" s="27" t="s">
        <v>295</v>
      </c>
    </row>
    <row r="99" spans="2:15">
      <c r="B99" s="27" t="s">
        <v>294</v>
      </c>
      <c r="C99" s="27" t="s">
        <v>53</v>
      </c>
      <c r="D99" s="27" t="s">
        <v>4</v>
      </c>
      <c r="E99" s="27" t="s">
        <v>190</v>
      </c>
      <c r="F99" s="27" t="s">
        <v>86</v>
      </c>
      <c r="G99" s="27" t="s">
        <v>87</v>
      </c>
      <c r="H99" s="27" t="s">
        <v>54</v>
      </c>
      <c r="I99" s="28">
        <v>240.23</v>
      </c>
      <c r="J99" s="27">
        <v>1.0409999999999999</v>
      </c>
      <c r="K99" s="27"/>
      <c r="L99" s="27"/>
      <c r="M99" s="27"/>
      <c r="N99" s="28">
        <v>-250</v>
      </c>
      <c r="O99" s="27" t="s">
        <v>295</v>
      </c>
    </row>
    <row r="100" spans="2:15">
      <c r="B100" s="16"/>
      <c r="O100" s="16"/>
    </row>
    <row r="101" spans="2:15">
      <c r="B101" s="16"/>
      <c r="O101" s="16"/>
    </row>
    <row r="102" spans="2:15">
      <c r="B102" s="16"/>
      <c r="O102" s="16"/>
    </row>
    <row r="103" spans="2:15">
      <c r="B103" s="16"/>
      <c r="O103" s="16"/>
    </row>
    <row r="104" spans="2:15">
      <c r="B104" s="16"/>
      <c r="O104" s="16"/>
    </row>
    <row r="105" spans="2:15">
      <c r="B105" s="16"/>
    </row>
    <row r="106" spans="2:15">
      <c r="B106" s="16"/>
    </row>
    <row r="107" spans="2:15">
      <c r="B107" s="16"/>
    </row>
    <row r="108" spans="2:15">
      <c r="B108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6D243-101F-4670-897F-76668E26D625}">
  <dimension ref="B2:E13"/>
  <sheetViews>
    <sheetView workbookViewId="0">
      <selection activeCell="K6" sqref="K6"/>
    </sheetView>
  </sheetViews>
  <sheetFormatPr defaultRowHeight="14.25"/>
  <cols>
    <col min="2" max="2" width="12.73046875" bestFit="1" customWidth="1"/>
    <col min="3" max="3" width="25.796875" bestFit="1" customWidth="1"/>
    <col min="4" max="4" width="25.53125" bestFit="1" customWidth="1"/>
    <col min="5" max="5" width="9.796875" bestFit="1" customWidth="1"/>
  </cols>
  <sheetData>
    <row r="2" spans="2:5" ht="55.9">
      <c r="B2" s="11" t="s">
        <v>0</v>
      </c>
      <c r="C2" s="11" t="s">
        <v>7</v>
      </c>
      <c r="D2" s="11" t="s">
        <v>8</v>
      </c>
      <c r="E2" s="11" t="s">
        <v>9</v>
      </c>
    </row>
    <row r="3" spans="2:5">
      <c r="B3" s="12" t="s">
        <v>10</v>
      </c>
      <c r="C3" t="s">
        <v>11</v>
      </c>
      <c r="D3" t="s">
        <v>12</v>
      </c>
      <c r="E3">
        <v>6</v>
      </c>
    </row>
    <row r="4" spans="2:5">
      <c r="B4" s="12" t="s">
        <v>13</v>
      </c>
      <c r="C4" t="s">
        <v>14</v>
      </c>
      <c r="D4" t="s">
        <v>15</v>
      </c>
      <c r="E4">
        <v>4</v>
      </c>
    </row>
    <row r="5" spans="2:5">
      <c r="B5" s="12" t="s">
        <v>16</v>
      </c>
      <c r="C5" t="s">
        <v>11</v>
      </c>
      <c r="D5" t="s">
        <v>17</v>
      </c>
      <c r="E5">
        <v>6</v>
      </c>
    </row>
    <row r="6" spans="2:5">
      <c r="B6" s="13" t="s">
        <v>18</v>
      </c>
      <c r="C6" t="s">
        <v>19</v>
      </c>
      <c r="D6" t="s">
        <v>15</v>
      </c>
      <c r="E6">
        <v>5</v>
      </c>
    </row>
    <row r="7" spans="2:5">
      <c r="B7" s="13" t="s">
        <v>20</v>
      </c>
      <c r="C7" t="s">
        <v>11</v>
      </c>
      <c r="D7" t="s">
        <v>21</v>
      </c>
      <c r="E7">
        <v>7</v>
      </c>
    </row>
    <row r="8" spans="2:5">
      <c r="B8" s="13" t="s">
        <v>22</v>
      </c>
      <c r="C8" t="s">
        <v>23</v>
      </c>
      <c r="D8" t="s">
        <v>24</v>
      </c>
      <c r="E8">
        <v>7</v>
      </c>
    </row>
    <row r="9" spans="2:5">
      <c r="B9" s="13" t="s">
        <v>25</v>
      </c>
      <c r="C9" t="s">
        <v>26</v>
      </c>
      <c r="D9" t="s">
        <v>27</v>
      </c>
      <c r="E9">
        <v>3</v>
      </c>
    </row>
    <row r="10" spans="2:5">
      <c r="B10" s="14" t="s">
        <v>28</v>
      </c>
      <c r="C10" t="s">
        <v>29</v>
      </c>
      <c r="D10" t="s">
        <v>15</v>
      </c>
      <c r="E10">
        <v>6</v>
      </c>
    </row>
    <row r="11" spans="2:5">
      <c r="B11" s="14" t="s">
        <v>30</v>
      </c>
      <c r="C11" t="s">
        <v>31</v>
      </c>
      <c r="D11" t="s">
        <v>32</v>
      </c>
      <c r="E11">
        <v>6</v>
      </c>
    </row>
    <row r="12" spans="2:5">
      <c r="B12" s="14" t="s">
        <v>33</v>
      </c>
      <c r="C12" t="s">
        <v>34</v>
      </c>
      <c r="D12" t="s">
        <v>15</v>
      </c>
      <c r="E12" s="15" t="s">
        <v>35</v>
      </c>
    </row>
    <row r="13" spans="2:5">
      <c r="B13" s="14" t="s">
        <v>36</v>
      </c>
      <c r="C13" t="s">
        <v>37</v>
      </c>
      <c r="D13" t="s">
        <v>38</v>
      </c>
      <c r="E13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893CD-D858-4D10-85FD-3F26795412E3}">
  <dimension ref="B1:C8"/>
  <sheetViews>
    <sheetView workbookViewId="0">
      <selection activeCell="F5" sqref="F5"/>
    </sheetView>
  </sheetViews>
  <sheetFormatPr defaultRowHeight="14.25"/>
  <cols>
    <col min="2" max="2" width="10.53125" bestFit="1" customWidth="1"/>
    <col min="3" max="3" width="53.53125" customWidth="1"/>
  </cols>
  <sheetData>
    <row r="1" spans="2:3" ht="14.65" thickBot="1"/>
    <row r="2" spans="2:3" ht="15.75" thickBot="1">
      <c r="B2" s="29" t="s">
        <v>296</v>
      </c>
      <c r="C2" s="30" t="s">
        <v>297</v>
      </c>
    </row>
    <row r="3" spans="2:3" ht="15.75" thickBot="1">
      <c r="B3" s="31">
        <v>46024</v>
      </c>
      <c r="C3" s="32" t="s">
        <v>298</v>
      </c>
    </row>
    <row r="4" spans="2:3" ht="46.5" thickBot="1">
      <c r="B4" s="33">
        <v>46081</v>
      </c>
      <c r="C4" s="34" t="s">
        <v>299</v>
      </c>
    </row>
    <row r="5" spans="2:3" ht="45.4" thickBot="1">
      <c r="B5" s="35" t="s">
        <v>300</v>
      </c>
      <c r="C5" s="32" t="s">
        <v>301</v>
      </c>
    </row>
    <row r="6" spans="2:3" ht="15.75" thickBot="1">
      <c r="B6" s="33">
        <v>46111</v>
      </c>
      <c r="C6" s="34" t="s">
        <v>302</v>
      </c>
    </row>
    <row r="7" spans="2:3" ht="15.75" thickBot="1">
      <c r="B7" s="31">
        <v>46112</v>
      </c>
      <c r="C7" s="32" t="s">
        <v>303</v>
      </c>
    </row>
    <row r="8" spans="2:3" ht="31.15" thickBot="1">
      <c r="B8" s="36" t="s">
        <v>304</v>
      </c>
      <c r="C8" s="34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Portfolio Breakdown</vt:lpstr>
      <vt:lpstr>Portfolio Performance</vt:lpstr>
      <vt:lpstr>Account History</vt:lpstr>
      <vt:lpstr>Participant Stats</vt:lpstr>
      <vt:lpstr>Table of 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Aedan Bingham</dc:creator>
  <cp:lastModifiedBy>Aedan Bingham</cp:lastModifiedBy>
  <dcterms:created xsi:type="dcterms:W3CDTF">2026-09-17T18:27:02Z</dcterms:created>
  <dcterms:modified xsi:type="dcterms:W3CDTF">2026-09-17T18:36:00Z</dcterms:modified>
</cp:coreProperties>
</file>